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0"/>
  <workbookPr defaultThemeVersion="166925"/>
  <xr:revisionPtr revIDLastSave="14444" documentId="11_E60897F41BE170836B02CE998F75CCDC64E183C8" xr6:coauthVersionLast="47" xr6:coauthVersionMax="47" xr10:uidLastSave="{4D632CB7-7067-4810-B8B2-61979B28BAB7}"/>
  <bookViews>
    <workbookView xWindow="240" yWindow="105" windowWidth="14805" windowHeight="8010" xr2:uid="{00000000-000D-0000-FFFF-FFFF00000000}"/>
  </bookViews>
  <sheets>
    <sheet name="Sheet1" sheetId="1" r:id="rId1"/>
  </sheets>
  <definedNames>
    <definedName name="DescriptiA1on">Sheet1!$S$1:$S$1</definedName>
    <definedName name="Description">Sheet1!$S$1:$S$1</definedName>
    <definedName name="Z1DaysToDue">Sheet1!$Z$1:$Z$1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D117" i="1" l="1"/>
  <c r="AE117" i="1"/>
  <c r="AF117" i="1"/>
  <c r="AG117" i="1"/>
  <c r="AH117" i="1"/>
  <c r="AD116" i="1"/>
  <c r="AE116" i="1"/>
  <c r="AF116" i="1"/>
  <c r="AG116" i="1"/>
  <c r="AH116" i="1"/>
  <c r="AD115" i="1"/>
  <c r="AE115" i="1"/>
  <c r="AF115" i="1"/>
  <c r="AG115" i="1"/>
  <c r="AH115" i="1"/>
  <c r="AD114" i="1"/>
  <c r="AE114" i="1"/>
  <c r="AF114" i="1"/>
  <c r="AG114" i="1"/>
  <c r="AH114" i="1"/>
  <c r="AD113" i="1"/>
  <c r="AE113" i="1"/>
  <c r="AF113" i="1"/>
  <c r="AG113" i="1"/>
  <c r="AH113" i="1"/>
  <c r="AD112" i="1"/>
  <c r="AE112" i="1"/>
  <c r="AF112" i="1"/>
  <c r="AG112" i="1"/>
  <c r="AH112" i="1"/>
  <c r="AD111" i="1"/>
  <c r="AE111" i="1"/>
  <c r="AF111" i="1"/>
  <c r="AG111" i="1"/>
  <c r="AH111" i="1"/>
  <c r="AD110" i="1"/>
  <c r="AE110" i="1"/>
  <c r="AF110" i="1"/>
  <c r="AG110" i="1"/>
  <c r="AH110" i="1"/>
  <c r="AD109" i="1"/>
  <c r="AE109" i="1"/>
  <c r="AF109" i="1"/>
  <c r="AG109" i="1"/>
  <c r="AH109" i="1"/>
  <c r="AD108" i="1"/>
  <c r="AE108" i="1"/>
  <c r="AF108" i="1"/>
  <c r="AG108" i="1"/>
  <c r="AH108" i="1"/>
  <c r="AD107" i="1"/>
  <c r="AE107" i="1"/>
  <c r="AF107" i="1"/>
  <c r="AG107" i="1"/>
  <c r="AH107" i="1"/>
  <c r="AD106" i="1"/>
  <c r="AE106" i="1"/>
  <c r="AF106" i="1"/>
  <c r="AG106" i="1"/>
  <c r="AH106" i="1"/>
  <c r="AD105" i="1"/>
  <c r="AE105" i="1"/>
  <c r="AF105" i="1"/>
  <c r="AG105" i="1"/>
  <c r="AH105" i="1"/>
  <c r="AD104" i="1"/>
  <c r="AE104" i="1"/>
  <c r="AF104" i="1"/>
  <c r="AG104" i="1"/>
  <c r="AH104" i="1"/>
  <c r="AD103" i="1"/>
  <c r="AE103" i="1"/>
  <c r="AF103" i="1"/>
  <c r="AG103" i="1"/>
  <c r="AH103" i="1"/>
  <c r="AD102" i="1"/>
  <c r="AE102" i="1"/>
  <c r="AF102" i="1"/>
  <c r="AG102" i="1"/>
  <c r="AH102" i="1"/>
  <c r="AD101" i="1"/>
  <c r="AE101" i="1"/>
  <c r="AF101" i="1"/>
  <c r="AG101" i="1"/>
  <c r="AH101" i="1"/>
  <c r="AD100" i="1"/>
  <c r="AE100" i="1"/>
  <c r="AF100" i="1"/>
  <c r="AG100" i="1"/>
  <c r="AH100" i="1"/>
  <c r="AD99" i="1"/>
  <c r="AE99" i="1"/>
  <c r="AF99" i="1"/>
  <c r="AG99" i="1"/>
  <c r="AH99" i="1"/>
  <c r="AD98" i="1"/>
  <c r="AE98" i="1"/>
  <c r="AF98" i="1"/>
  <c r="AG98" i="1"/>
  <c r="AH98" i="1"/>
  <c r="AD97" i="1"/>
  <c r="AE97" i="1"/>
  <c r="AF97" i="1"/>
  <c r="AG97" i="1"/>
  <c r="AH97" i="1"/>
  <c r="AD96" i="1"/>
  <c r="AE96" i="1"/>
  <c r="AF96" i="1"/>
  <c r="AG96" i="1"/>
  <c r="AH96" i="1"/>
  <c r="AD95" i="1"/>
  <c r="AE95" i="1"/>
  <c r="AF95" i="1"/>
  <c r="AG95" i="1"/>
  <c r="AH95" i="1"/>
  <c r="AD94" i="1"/>
  <c r="AE94" i="1"/>
  <c r="AF94" i="1"/>
  <c r="AG94" i="1"/>
  <c r="AH94" i="1"/>
  <c r="AD93" i="1"/>
  <c r="AE93" i="1"/>
  <c r="AF93" i="1"/>
  <c r="AG93" i="1"/>
  <c r="AH93" i="1"/>
  <c r="AD92" i="1"/>
  <c r="AE92" i="1"/>
  <c r="AF92" i="1"/>
  <c r="AG92" i="1"/>
  <c r="AH92" i="1"/>
  <c r="AD91" i="1"/>
  <c r="AE91" i="1"/>
  <c r="AF91" i="1"/>
  <c r="AG91" i="1"/>
  <c r="AH91" i="1"/>
  <c r="AD90" i="1"/>
  <c r="AE90" i="1"/>
  <c r="AF90" i="1"/>
  <c r="AG90" i="1"/>
  <c r="AH90" i="1"/>
  <c r="AD89" i="1"/>
  <c r="AE89" i="1"/>
  <c r="AF89" i="1"/>
  <c r="AG89" i="1"/>
  <c r="AH89" i="1"/>
  <c r="AD88" i="1"/>
  <c r="AE88" i="1"/>
  <c r="AF88" i="1"/>
  <c r="AG88" i="1"/>
  <c r="AH88" i="1"/>
  <c r="AD87" i="1"/>
  <c r="AE87" i="1"/>
  <c r="AF87" i="1"/>
  <c r="AG87" i="1"/>
  <c r="AH87" i="1"/>
  <c r="AD86" i="1"/>
  <c r="AE86" i="1"/>
  <c r="AF86" i="1"/>
  <c r="AG86" i="1"/>
  <c r="AH86" i="1"/>
  <c r="AD85" i="1"/>
  <c r="AE85" i="1"/>
  <c r="AF85" i="1"/>
  <c r="AG85" i="1"/>
  <c r="AH85" i="1"/>
  <c r="AD84" i="1"/>
  <c r="AE84" i="1"/>
  <c r="AF84" i="1"/>
  <c r="AG84" i="1"/>
  <c r="AH84" i="1"/>
  <c r="AD83" i="1"/>
  <c r="AE83" i="1"/>
  <c r="AF83" i="1"/>
  <c r="AG83" i="1"/>
  <c r="AH83" i="1"/>
  <c r="AD82" i="1"/>
  <c r="AE82" i="1"/>
  <c r="AF82" i="1"/>
  <c r="AG82" i="1"/>
  <c r="AH82" i="1"/>
  <c r="AD81" i="1"/>
  <c r="AE81" i="1"/>
  <c r="AF81" i="1"/>
  <c r="AG81" i="1"/>
  <c r="AH81" i="1"/>
  <c r="AD80" i="1"/>
  <c r="AE80" i="1"/>
  <c r="AF80" i="1"/>
  <c r="AG80" i="1"/>
  <c r="AH80" i="1"/>
  <c r="AD79" i="1"/>
  <c r="AE79" i="1"/>
  <c r="AF79" i="1"/>
  <c r="AG79" i="1"/>
  <c r="AH79" i="1"/>
  <c r="AD78" i="1"/>
  <c r="AE78" i="1"/>
  <c r="AF78" i="1"/>
  <c r="AG78" i="1"/>
  <c r="AH78" i="1"/>
  <c r="AD77" i="1"/>
  <c r="AE77" i="1"/>
  <c r="AF77" i="1"/>
  <c r="AG77" i="1"/>
  <c r="AH77" i="1"/>
  <c r="AD76" i="1"/>
  <c r="AE76" i="1"/>
  <c r="AF76" i="1"/>
  <c r="AG76" i="1"/>
  <c r="AH76" i="1"/>
  <c r="AD75" i="1"/>
  <c r="AE75" i="1"/>
  <c r="AF75" i="1"/>
  <c r="AG75" i="1"/>
  <c r="AH75" i="1"/>
  <c r="AD74" i="1"/>
  <c r="AE74" i="1"/>
  <c r="AF74" i="1"/>
  <c r="AG74" i="1"/>
  <c r="AH74" i="1"/>
  <c r="AD73" i="1"/>
  <c r="AE73" i="1"/>
  <c r="AF73" i="1"/>
  <c r="AG73" i="1"/>
  <c r="AH73" i="1"/>
  <c r="AD72" i="1"/>
  <c r="AE72" i="1"/>
  <c r="AF72" i="1"/>
  <c r="AG72" i="1"/>
  <c r="AH72" i="1"/>
  <c r="AD71" i="1"/>
  <c r="AE71" i="1"/>
  <c r="AF71" i="1"/>
  <c r="AG71" i="1"/>
  <c r="AH71" i="1"/>
  <c r="AD70" i="1"/>
  <c r="AE70" i="1"/>
  <c r="AF70" i="1"/>
  <c r="AG70" i="1"/>
  <c r="AH70" i="1"/>
  <c r="AD69" i="1"/>
  <c r="AE69" i="1"/>
  <c r="AF69" i="1"/>
  <c r="AG69" i="1"/>
  <c r="AH69" i="1"/>
  <c r="AD68" i="1"/>
  <c r="AE68" i="1"/>
  <c r="AF68" i="1"/>
  <c r="AG68" i="1"/>
  <c r="AH68" i="1"/>
  <c r="AD67" i="1"/>
  <c r="AE67" i="1"/>
  <c r="AF67" i="1"/>
  <c r="AG67" i="1"/>
  <c r="AH67" i="1"/>
  <c r="AD66" i="1"/>
  <c r="AE66" i="1"/>
  <c r="AF66" i="1"/>
  <c r="AG66" i="1"/>
  <c r="AH66" i="1"/>
  <c r="AD65" i="1"/>
  <c r="AE65" i="1"/>
  <c r="AF65" i="1"/>
  <c r="AG65" i="1"/>
  <c r="AH65" i="1"/>
  <c r="AD64" i="1"/>
  <c r="AE64" i="1"/>
  <c r="AF64" i="1"/>
  <c r="AG64" i="1"/>
  <c r="AH64" i="1"/>
  <c r="AD63" i="1"/>
  <c r="AE63" i="1"/>
  <c r="AF63" i="1"/>
  <c r="AG63" i="1"/>
  <c r="AH63" i="1"/>
  <c r="AD62" i="1"/>
  <c r="AE62" i="1"/>
  <c r="AF62" i="1"/>
  <c r="AG62" i="1"/>
  <c r="AH62" i="1"/>
  <c r="AD61" i="1"/>
  <c r="AE61" i="1"/>
  <c r="AF61" i="1"/>
  <c r="AG61" i="1"/>
  <c r="AH61" i="1"/>
  <c r="AD60" i="1"/>
  <c r="AE60" i="1"/>
  <c r="AF60" i="1"/>
  <c r="AG60" i="1"/>
  <c r="AH60" i="1"/>
  <c r="AD59" i="1"/>
  <c r="AE59" i="1"/>
  <c r="AF59" i="1"/>
  <c r="AG59" i="1"/>
  <c r="AH59" i="1"/>
  <c r="AD58" i="1"/>
  <c r="AE58" i="1"/>
  <c r="AF58" i="1"/>
  <c r="AG58" i="1"/>
  <c r="AH58" i="1"/>
  <c r="AD57" i="1"/>
  <c r="AE57" i="1"/>
  <c r="AF57" i="1"/>
  <c r="AG57" i="1"/>
  <c r="AH57" i="1"/>
  <c r="AD56" i="1"/>
  <c r="AE56" i="1"/>
  <c r="AF56" i="1"/>
  <c r="AG56" i="1"/>
  <c r="AH56" i="1"/>
  <c r="AD55" i="1"/>
  <c r="AE55" i="1"/>
  <c r="AF55" i="1"/>
  <c r="AG55" i="1"/>
  <c r="AH55" i="1"/>
  <c r="AD54" i="1"/>
  <c r="AE54" i="1"/>
  <c r="AF54" i="1"/>
  <c r="AG54" i="1"/>
  <c r="AH54" i="1"/>
  <c r="AD53" i="1"/>
  <c r="AE53" i="1"/>
  <c r="AF53" i="1"/>
  <c r="AG53" i="1"/>
  <c r="AH53" i="1"/>
  <c r="AD52" i="1"/>
  <c r="AE52" i="1"/>
  <c r="AF52" i="1"/>
  <c r="AG52" i="1"/>
  <c r="AH52" i="1"/>
  <c r="AD51" i="1"/>
  <c r="AE51" i="1"/>
  <c r="AF51" i="1"/>
  <c r="AG51" i="1"/>
  <c r="AH51" i="1"/>
  <c r="AD50" i="1"/>
  <c r="AE50" i="1"/>
  <c r="AF50" i="1"/>
  <c r="AG50" i="1"/>
  <c r="AH50" i="1"/>
  <c r="AD49" i="1"/>
  <c r="AE49" i="1"/>
  <c r="AF49" i="1"/>
  <c r="AG49" i="1"/>
  <c r="AH49" i="1"/>
  <c r="AD48" i="1"/>
  <c r="AE48" i="1"/>
  <c r="AF48" i="1"/>
  <c r="AG48" i="1"/>
  <c r="AH48" i="1"/>
  <c r="AD47" i="1"/>
  <c r="AE47" i="1"/>
  <c r="AF47" i="1"/>
  <c r="AG47" i="1"/>
  <c r="AH47" i="1"/>
  <c r="AD46" i="1"/>
  <c r="AE46" i="1"/>
  <c r="AF46" i="1"/>
  <c r="AG46" i="1"/>
  <c r="AH46" i="1"/>
  <c r="AD45" i="1"/>
  <c r="AE45" i="1"/>
  <c r="AF45" i="1"/>
  <c r="AG45" i="1"/>
  <c r="AH45" i="1"/>
  <c r="AD44" i="1"/>
  <c r="AE44" i="1"/>
  <c r="AF44" i="1"/>
  <c r="AG44" i="1"/>
  <c r="AH44" i="1"/>
  <c r="AD43" i="1"/>
  <c r="AE43" i="1"/>
  <c r="AF43" i="1"/>
  <c r="AG43" i="1"/>
  <c r="AH43" i="1"/>
  <c r="AD42" i="1"/>
  <c r="AE42" i="1"/>
  <c r="AF42" i="1"/>
  <c r="AG42" i="1"/>
  <c r="AH42" i="1"/>
  <c r="AD41" i="1"/>
  <c r="AE41" i="1"/>
  <c r="AF41" i="1"/>
  <c r="AG41" i="1"/>
  <c r="AH41" i="1"/>
  <c r="AD40" i="1"/>
  <c r="AE40" i="1"/>
  <c r="AF40" i="1"/>
  <c r="AG40" i="1"/>
  <c r="AH40" i="1"/>
  <c r="AD39" i="1"/>
  <c r="AE39" i="1"/>
  <c r="AF39" i="1"/>
  <c r="AG39" i="1"/>
  <c r="AH39" i="1"/>
  <c r="AD38" i="1"/>
  <c r="AE38" i="1"/>
  <c r="AF38" i="1"/>
  <c r="AG38" i="1"/>
  <c r="AH38" i="1"/>
  <c r="AD37" i="1"/>
  <c r="AE37" i="1"/>
  <c r="AF37" i="1"/>
  <c r="AG37" i="1"/>
  <c r="AH37" i="1"/>
  <c r="AD36" i="1"/>
  <c r="AE36" i="1"/>
  <c r="AF36" i="1"/>
  <c r="AG36" i="1"/>
  <c r="AH36" i="1"/>
  <c r="AD35" i="1"/>
  <c r="AE35" i="1"/>
  <c r="AF35" i="1"/>
  <c r="AG35" i="1"/>
  <c r="AH35" i="1"/>
  <c r="AD34" i="1"/>
  <c r="AE34" i="1"/>
  <c r="AF34" i="1"/>
  <c r="AG34" i="1"/>
  <c r="AH34" i="1"/>
  <c r="AD33" i="1"/>
  <c r="AE33" i="1"/>
  <c r="AF33" i="1"/>
  <c r="AG33" i="1"/>
  <c r="AH33" i="1"/>
  <c r="AD32" i="1"/>
  <c r="AE32" i="1"/>
  <c r="AF32" i="1"/>
  <c r="AG32" i="1"/>
  <c r="AH32" i="1"/>
  <c r="AD31" i="1"/>
  <c r="AE31" i="1"/>
  <c r="AF31" i="1"/>
  <c r="AG31" i="1"/>
  <c r="AH31" i="1"/>
  <c r="AD30" i="1"/>
  <c r="AE30" i="1"/>
  <c r="AF30" i="1"/>
  <c r="AG30" i="1"/>
  <c r="AH30" i="1"/>
  <c r="AD29" i="1"/>
  <c r="AE29" i="1"/>
  <c r="AF29" i="1"/>
  <c r="AG29" i="1"/>
  <c r="AH29" i="1"/>
  <c r="AD28" i="1"/>
  <c r="AE28" i="1"/>
  <c r="AF28" i="1"/>
  <c r="AG28" i="1"/>
  <c r="AH28" i="1"/>
  <c r="AD27" i="1"/>
  <c r="AE27" i="1"/>
  <c r="AF27" i="1"/>
  <c r="AG27" i="1"/>
  <c r="AH27" i="1"/>
  <c r="AD26" i="1"/>
  <c r="AE26" i="1"/>
  <c r="AF26" i="1"/>
  <c r="AG26" i="1"/>
  <c r="AH26" i="1"/>
  <c r="AD25" i="1"/>
  <c r="AE25" i="1"/>
  <c r="AF25" i="1"/>
  <c r="AG25" i="1"/>
  <c r="AH25" i="1"/>
  <c r="AD24" i="1"/>
  <c r="AE24" i="1"/>
  <c r="AF24" i="1"/>
  <c r="AG24" i="1"/>
  <c r="AH24" i="1"/>
  <c r="AD23" i="1"/>
  <c r="AE23" i="1"/>
  <c r="AF23" i="1"/>
  <c r="AG23" i="1"/>
  <c r="AH23" i="1"/>
  <c r="AD22" i="1"/>
  <c r="AE22" i="1"/>
  <c r="AF22" i="1"/>
  <c r="AG22" i="1"/>
  <c r="AH22" i="1"/>
  <c r="AD21" i="1"/>
  <c r="AE21" i="1"/>
  <c r="AF21" i="1"/>
  <c r="AG21" i="1"/>
  <c r="AH21" i="1"/>
  <c r="AD20" i="1"/>
  <c r="AE20" i="1"/>
  <c r="AF20" i="1"/>
  <c r="AG20" i="1"/>
  <c r="AH20" i="1"/>
  <c r="AD19" i="1"/>
  <c r="AE19" i="1"/>
  <c r="AF19" i="1"/>
  <c r="AG19" i="1"/>
  <c r="AH19" i="1"/>
  <c r="AD18" i="1"/>
  <c r="AE18" i="1"/>
  <c r="AF18" i="1"/>
  <c r="AG18" i="1"/>
  <c r="AH18" i="1"/>
  <c r="AD17" i="1"/>
  <c r="AE17" i="1"/>
  <c r="AF17" i="1"/>
  <c r="AG17" i="1"/>
  <c r="AH17" i="1"/>
  <c r="AD16" i="1"/>
  <c r="AE16" i="1"/>
  <c r="AF16" i="1"/>
  <c r="AG16" i="1"/>
  <c r="AH16" i="1"/>
  <c r="AD15" i="1"/>
  <c r="AE15" i="1"/>
  <c r="AF15" i="1"/>
  <c r="AG15" i="1"/>
  <c r="AH15" i="1"/>
  <c r="AD14" i="1"/>
  <c r="AE14" i="1"/>
  <c r="AF14" i="1"/>
  <c r="AG14" i="1"/>
  <c r="AH14" i="1"/>
  <c r="AD13" i="1"/>
  <c r="AE13" i="1"/>
  <c r="AF13" i="1"/>
  <c r="AG13" i="1"/>
  <c r="AH13" i="1"/>
  <c r="AD12" i="1"/>
  <c r="AE12" i="1"/>
  <c r="AF12" i="1"/>
  <c r="AG12" i="1"/>
  <c r="AH12" i="1"/>
  <c r="AD11" i="1"/>
  <c r="AE11" i="1"/>
  <c r="AF11" i="1"/>
  <c r="AG11" i="1"/>
  <c r="AH11" i="1"/>
  <c r="AD10" i="1"/>
  <c r="AE10" i="1"/>
  <c r="AF10" i="1"/>
  <c r="AG10" i="1"/>
  <c r="AH10" i="1"/>
  <c r="AD9" i="1"/>
  <c r="AE9" i="1"/>
  <c r="AF9" i="1"/>
  <c r="AG9" i="1"/>
  <c r="AH9" i="1"/>
  <c r="AD8" i="1"/>
  <c r="AE8" i="1"/>
  <c r="AF8" i="1"/>
  <c r="AG8" i="1"/>
  <c r="AH8" i="1"/>
  <c r="AD7" i="1"/>
  <c r="AE7" i="1"/>
  <c r="AF7" i="1"/>
  <c r="AG7" i="1"/>
  <c r="AH7" i="1"/>
  <c r="AD6" i="1"/>
  <c r="AE6" i="1"/>
  <c r="AF6" i="1"/>
  <c r="AG6" i="1"/>
  <c r="AH6" i="1"/>
  <c r="AD5" i="1"/>
  <c r="AE5" i="1"/>
  <c r="AF5" i="1"/>
  <c r="AG5" i="1"/>
  <c r="AH5" i="1"/>
  <c r="AD4" i="1"/>
  <c r="AE4" i="1"/>
  <c r="AF4" i="1"/>
  <c r="AG4" i="1"/>
  <c r="AH4" i="1"/>
  <c r="AD3" i="1"/>
  <c r="AE3" i="1"/>
  <c r="AF3" i="1"/>
  <c r="AG3" i="1"/>
  <c r="AH3" i="1"/>
  <c r="AD2" i="1"/>
  <c r="AE2" i="1"/>
  <c r="AF2" i="1"/>
  <c r="AG2" i="1"/>
  <c r="AH2" i="1"/>
</calcChain>
</file>

<file path=xl/sharedStrings.xml><?xml version="1.0" encoding="utf-8"?>
<sst xmlns="http://schemas.openxmlformats.org/spreadsheetml/2006/main" count="2182" uniqueCount="988">
  <si>
    <t>RunTimestamp</t>
  </si>
  <si>
    <t>TaskId</t>
  </si>
  <si>
    <t>Title</t>
  </si>
  <si>
    <t>PlanId</t>
  </si>
  <si>
    <t>BucketId</t>
  </si>
  <si>
    <t>BucketName</t>
  </si>
  <si>
    <t>PercentComplete</t>
  </si>
  <si>
    <t>Priority</t>
  </si>
  <si>
    <t>PriorityLabel</t>
  </si>
  <si>
    <t>AssignedToIds</t>
  </si>
  <si>
    <t>CreatedDateTime</t>
  </si>
  <si>
    <t>CreatedBy</t>
  </si>
  <si>
    <t>StartDateTime</t>
  </si>
  <si>
    <t>DueDateTime</t>
  </si>
  <si>
    <t>CompletedDateTime</t>
  </si>
  <si>
    <t>CompletedBy</t>
  </si>
  <si>
    <t>Labels</t>
  </si>
  <si>
    <t>HasDescription</t>
  </si>
  <si>
    <t>Description</t>
  </si>
  <si>
    <t>ChecklistItemCount</t>
  </si>
  <si>
    <t>ChecklistSummary</t>
  </si>
  <si>
    <t>ReferenceCount</t>
  </si>
  <si>
    <t>ReferenceSummary</t>
  </si>
  <si>
    <t>OrderHint</t>
  </si>
  <si>
    <t>ConversationThreadId</t>
  </si>
  <si>
    <t>AssignedToNames</t>
  </si>
  <si>
    <t>PlanName</t>
  </si>
  <si>
    <t>LabelNames</t>
  </si>
  <si>
    <t>AssignmentDates</t>
  </si>
  <si>
    <t>ChecklistDone</t>
  </si>
  <si>
    <t>ChecklistOpen</t>
  </si>
  <si>
    <t>IsOverdue</t>
  </si>
  <si>
    <t>DaysOverdue</t>
  </si>
  <si>
    <t>DaysToDue</t>
  </si>
  <si>
    <t>2026-10-14T12:29:11.3602106Z</t>
  </si>
  <si>
    <t>8PerGupe7k-8TC9qFcKmxmQAGnQG</t>
  </si>
  <si>
    <t>Create PO for Ivanka PRAP</t>
  </si>
  <si>
    <t>XrsNRcj-BUCai1Z8LF5rBWQAFG9L</t>
  </si>
  <si>
    <t>6JvhtLPIeESNdpj7RA8Ir2QAIT3A</t>
  </si>
  <si>
    <t xml:space="preserve">To Do </t>
  </si>
  <si>
    <t>Medium</t>
  </si>
  <si>
    <t>{"d8b70168-3e9f-451c-898e-9a1da643aafe":{"@odata.type":"#microsoft.graph.plannerAssignment","assignedDateTime":"2026-10-14T07:53:44.5586016Z","orderHint":"\"","assignedBy":{"user":{"displayName":null,"id":"d8b70168-3e9f-451c-898e-9a1da643aafe"},"application":{"displayName":null,"id":"75f31797-37c9-498e-8dc9-53c16a36afca"}}}}</t>
  </si>
  <si>
    <t>2026-10-14T07:53:44.5586586Z</t>
  </si>
  <si>
    <t>d8b70168-3e9f-451c-898e-9a1da643aafe</t>
  </si>
  <si>
    <t>{"category24":true}</t>
  </si>
  <si>
    <t>[]</t>
  </si>
  <si>
    <t>8584096425209830482P7</t>
  </si>
  <si>
    <t>Rebecca Teo</t>
  </si>
  <si>
    <t>Brandcom Project Management</t>
  </si>
  <si>
    <t>Coupa PO</t>
  </si>
  <si>
    <t>2026-10-14T12:29:13.6798789Z</t>
  </si>
  <si>
    <t>KOLwYhtXk0yf0oNg5Z1fBWQADn__</t>
  </si>
  <si>
    <t>Share with Joey / Min Hui on the assets to create once received</t>
  </si>
  <si>
    <t>{"d8b70168-3e9f-451c-898e-9a1da643aafe":{"@odata.type":"#microsoft.graph.plannerAssignment","assignedDateTime":"2026-10-14T07:53:16.5625019Z","orderHint":"\"","assignedBy":{"user":{"displayName":null,"id":"d8b70168-3e9f-451c-898e-9a1da643aafe"},"application":{"displayName":null,"id":"75f31797-37c9-498e-8dc9-53c16a36afca"}}}}</t>
  </si>
  <si>
    <t>2026-10-14T07:53:16.5625568Z</t>
  </si>
  <si>
    <t>{"category19":true,"category20":true}</t>
  </si>
  <si>
    <t>8584096425491172276PI</t>
  </si>
  <si>
    <t>LinkedIn, Facebook</t>
  </si>
  <si>
    <t>2026-10-14T12:29:16.2749402Z</t>
  </si>
  <si>
    <t>TpTTzdxeCUqrFSMT4LL2HmQAGLVV</t>
  </si>
  <si>
    <t>Create Nurture email in Japanese</t>
  </si>
  <si>
    <t>hXWXxcacR0e8OSPDfuHME2QAMCsP</t>
  </si>
  <si>
    <t>Next Week</t>
  </si>
  <si>
    <t>{"b0dde2c9-92a4-4d86-a4fd-2a130944956f":{"@odata.type":"#microsoft.graph.plannerAssignment","assignedDateTime":"2026-10-14T07:51:55.8318815Z","orderHint":"\"","assignedBy":{"user":{"displayName":null,"id":"8021679b-08c3-4b58-beef-284f1a8378ef"},"application":{"displayName":null,"id":"75f31797-37c9-498e-8dc9-53c16a36afca"}}}}</t>
  </si>
  <si>
    <t>2026-10-14T07:51:55.8319336Z</t>
  </si>
  <si>
    <t>8021679b-08c3-4b58-beef-284f1a8378ef</t>
  </si>
  <si>
    <t>2026-10-23T10:00:00Z</t>
  </si>
  <si>
    <t>{}</t>
  </si>
  <si>
    <t>https://docs.google.com/spreadsheets/d/1HU50GjvMv0_Y5PinSOHZQjJ17hTKHI_X5y-hgeT905s/edit?gid=0#gid=0</t>
  </si>
  <si>
    <t>8584096426296966342P/</t>
  </si>
  <si>
    <t>Aisah Abdul Talib</t>
  </si>
  <si>
    <t>2026-10-14T12:29:19.1069284Z</t>
  </si>
  <si>
    <t>cvVWGTY-x0Kx5TCslWRiHGQAGVOB</t>
  </si>
  <si>
    <t>Include the 10k budget accordingly in the plan</t>
  </si>
  <si>
    <t>FcWT8p45_0yAmU3I_Ewh9GQAGRCc</t>
  </si>
  <si>
    <t>Doing Now</t>
  </si>
  <si>
    <t>{"d8b70168-3e9f-451c-898e-9a1da643aafe":{"@odata.type":"#microsoft.graph.plannerAssignment","assignedDateTime":"2026-10-14T07:48:31.3336222Z","orderHint":"\"","assignedBy":{"user":{"displayName":null,"id":"d8b70168-3e9f-451c-898e-9a1da643aafe"},"application":{"displayName":null,"id":"75f31797-37c9-498e-8dc9-53c16a36afca"}}}}</t>
  </si>
  <si>
    <t>2026-10-14T07:48:31.3336828Z</t>
  </si>
  <si>
    <t>{"category11":true}</t>
  </si>
  <si>
    <t>8584096428341945920P+</t>
  </si>
  <si>
    <t>ADS- Planning</t>
  </si>
  <si>
    <t>2026-10-14T12:29:22.7100757Z</t>
  </si>
  <si>
    <t>Wtp28rCL9EKmajHdYOY332QAEN3D</t>
  </si>
  <si>
    <t>Include exclusion for all campaigns</t>
  </si>
  <si>
    <t>VvFb0U6zYUiz9zKudbSK6WQAP0Yz</t>
  </si>
  <si>
    <t>This Week</t>
  </si>
  <si>
    <t>{"d8b70168-3e9f-451c-898e-9a1da643aafe":{"@odata.type":"#microsoft.graph.plannerAssignment","assignedDateTime":"2026-10-13T08:03:19.7677405Z","orderHint":"\"","assignedBy":{"user":{"displayName":null,"id":"d8b70168-3e9f-451c-898e-9a1da643aafe"},"application":{"displayName":null,"id":"75f31797-37c9-498e-8dc9-53c16a36afca"}}}}</t>
  </si>
  <si>
    <t>2026-10-13T08:03:19.7678053Z</t>
  </si>
  <si>
    <t>{"category11":true,"category19":true,"category20":true}</t>
  </si>
  <si>
    <t>8584097283458834685P"</t>
  </si>
  <si>
    <t>ADS- Planning, LinkedIn, Facebook</t>
  </si>
  <si>
    <t>2026-10-14T12:29:24.8709820Z</t>
  </si>
  <si>
    <t>JTT4t0X7wEKBlTRGx7tqumQAIFkY</t>
  </si>
  <si>
    <t>Fix disabled Power Automate flow (BrandCom task completion)</t>
  </si>
  <si>
    <t>{"129b8133-2f40-46f4-8391-49fec10f3174":{"@odata.type":"#microsoft.graph.plannerAssignment","assignedDateTime":"2026-10-12T11:42:36.0988305Z","orderHint":"\"","assignedBy":{"user":{"displayName":null,"id":"129b8133-2f40-46f4-8391-49fec10f3174"},"application":{"displayName":null,"id":"75f31797-37c9-498e-8dc9-53c16a36afca"}}}}</t>
  </si>
  <si>
    <t>2026-10-12T11:42:10.2049716Z</t>
  </si>
  <si>
    <t>129b8133-2f40-46f4-8391-49fec10f3174</t>
  </si>
  <si>
    <t>{"category15":true}</t>
  </si>
  <si>
    <t>[{"id":"88bb571560fc460d85ac5aa56abf03ef","value":{"@odata.type":"#microsoft.graph.plannerChecklistItem","isChecked":false,"title":"Re-enable the flow","orderHint":"8584098014G*","lastModifiedDateTime":"2026-10-12T11:43:57.3149744Z","lastModifiedBy":{"user":{"displayName":null,"id":"129b8133-2f40-46f4-8391-49fec10f3174"}}}},{"id":"1faab196a14949ed8dfb00ad34cc820b","value":{"@odata.type":"#microsoft.graph.plannerChecklistItem","isChecked":false,"title":"Fix the failing step or connection","orderHint":"8584098014Z=","lastModifiedDateTime":"2026-10-12T11:43:45.2923942Z","lastModifiedBy":{"user":{"displayName":null,"id":"129b8133-2f40-46f4-8391-49fec10f3174"}}}},{"id":"e854660ebc064eb3970c23341ff7a336","value":{"@odata.type":"#microsoft.graph.plannerChecklistItem","isChecked":false,"title":"Test with a completed BrandCom task","orderHint":"8584098014=-","lastModifiedDateTime":"2026-10-12T11:44:06.2121252Z","lastModifiedBy":{"user":{"displayName":null,"id":"129b8133-2f40-46f4-8391-49fec10f3174"}}}},{"id":"6a72e1a1253342b090686782cc2a2288","value":{"@odata.type":"#microsoft.graph.plannerChecklistItem","isChecked":false,"title":"Open the failed flow run history to find the error","orderHint":"8584098015320168408PD","lastModifiedDateTime":"2026-10-12T11:43:33.4849961Z","lastModifiedBy":{"user":{"displayName":null,"id":"129b8133-2f40-46f4-8391-49fec10f3174"}}}}]</t>
  </si>
  <si>
    <t>8584098016153157541P?</t>
  </si>
  <si>
    <t>Adam Lau</t>
  </si>
  <si>
    <t>Others</t>
  </si>
  <si>
    <t>2026-10-14T12:29:27.9791434Z</t>
  </si>
  <si>
    <t>TPlkTO8EW0C-8c5GaD8rHmQADZ2R</t>
  </si>
  <si>
    <t>EMEA-style campaign heads-up to sales</t>
  </si>
  <si>
    <t>{"129b8133-2f40-46f4-8391-49fec10f3174":{"@odata.type":"#microsoft.graph.plannerAssignment","assignedDateTime":"2026-10-12T11:32:55.4815343Z","orderHint":"\"","assignedBy":{"user":{"displayName":null,"id":"129b8133-2f40-46f4-8391-49fec10f3174"},"application":{"displayName":null,"id":"75f31797-37c9-498e-8dc9-53c16a36afca"}}}}</t>
  </si>
  <si>
    <t>2026-10-12T11:30:20.1384934Z</t>
  </si>
  <si>
    <t>[{"id":"eb6f6a79c9514ea7add5654fe76f260c","value":{"@odata.type":"#microsoft.graph.plannerChecklistItem","isChecked":false,"title":"Pull the campaign details sales actually needs","orderHint":"85840980165M","lastModifiedDateTime":"2026-10-12T11:41:11.0090546Z","lastModifiedBy":{"user":{"displayName":null,"id":"129b8133-2f40-46f4-8391-49fec10f3174"}}}},{"id":"e7ba75c0c99c4988a442b7c3a167b28b","value":{"@odata.type":"#microsoft.graph.plannerChecklistItem","isChecked":false,"title":"Draft the heads-up format/template","orderHint":"85840980162C","lastModifiedDateTime":"2026-10-12T11:41:21.5551439Z","lastModifiedBy":{"user":{"displayName":null,"id":"129b8133-2f40-46f4-8391-49fec10f3174"}}}},{"id":"65f9351d878140b3af6283a98c3839d5","value":{"@odata.type":"#microsoft.graph.plannerChecklistItem","isChecked":false,"title":"Send the first heads-up for current campaigns","orderHint":"8584098015IB","lastModifiedDateTime":"2026-10-12T11:41:43.316013Z","lastModifiedBy":{"user":{"displayName":null,"id":"129b8133-2f40-46f4-8391-49fec10f3174"}}}},{"id":"aca24e12ec654b8da406dc0d5188b082","value":{"@odata.type":"#microsoft.graph.plannerChecklistItem","isChecked":false,"title":"Confirm where it lives (Salesforce, email, or Teams)","orderHint":"8584098015[O","lastModifiedDateTime":"2026-10-12T11:41:36.707008Z","lastModifiedBy":{"user":{"displayName":null,"id":"129b8133-2f40-46f4-8391-49fec10f3174"}}}},{"id":"ddde352ea9384a5487e60eae1b69b285","value":{"@odata.type":"#microsoft.graph.plannerChecklistItem","isChecked":false,"title":"Clarify with Michelle what EMEA's sales heads-up contains","orderHint":"8584098016918080319P4","lastModifiedDateTime":"2026-10-12T11:40:53.6861529Z","lastModifiedBy":{"user":{"displayName":null,"id":"129b8133-2f40-46f4-8391-49fec10f3174"}}}}]</t>
  </si>
  <si>
    <t>8584098023254005852P3</t>
  </si>
  <si>
    <t>2026-10-14T12:29:30.1525523Z</t>
  </si>
  <si>
    <t>TbJUsV4QykaPI10fcdCem2QAH-mt</t>
  </si>
  <si>
    <t>Update budget tracker with approved budget</t>
  </si>
  <si>
    <t>{"d8b70168-3e9f-451c-898e-9a1da643aafe":{"@odata.type":"#microsoft.graph.plannerAssignment","assignedDateTime":"2026-10-12T07:23:59.0601835Z","orderHint":"\"","assignedBy":{"user":{"displayName":null,"id":"d8b70168-3e9f-451c-898e-9a1da643aafe"},"application":{"displayName":null,"id":"75f31797-37c9-498e-8dc9-53c16a36afca"}}}}</t>
  </si>
  <si>
    <t>2026-10-12T07:23:59.0602437Z</t>
  </si>
  <si>
    <t>8584098171064541296P'</t>
  </si>
  <si>
    <t>2026-10-14T12:29:32.6651716Z</t>
  </si>
  <si>
    <t>v6s3jGKO5UuqjkWZsylQ12QANSnd</t>
  </si>
  <si>
    <t>Share the final budget with each market manager</t>
  </si>
  <si>
    <t>{"d8b70168-3e9f-451c-898e-9a1da643aafe":{"@odata.type":"#microsoft.graph.plannerAssignment","assignedDateTime":"2026-10-12T07:23:42.6024867Z","orderHint":"\"","assignedBy":{"user":{"displayName":null,"id":"d8b70168-3e9f-451c-898e-9a1da643aafe"},"application":{"displayName":null,"id":"75f31797-37c9-498e-8dc9-53c16a36afca"}}}}</t>
  </si>
  <si>
    <t>2026-10-12T07:23:42.6025502Z</t>
  </si>
  <si>
    <t>8584098171229149186P7</t>
  </si>
  <si>
    <t>2026-10-14T12:29:35.3166872Z</t>
  </si>
  <si>
    <t>YIb6OiUp6E-GVU6YdOb4jGQAKmPu</t>
  </si>
  <si>
    <t>Get final approval for media plan budgets</t>
  </si>
  <si>
    <t>{"d8b70168-3e9f-451c-898e-9a1da643aafe":{"@odata.type":"#microsoft.graph.plannerAssignment","assignedDateTime":"2026-10-12T07:23:29.870497Z","orderHint":"\"","assignedBy":{"user":{"displayName":null,"id":"d8b70168-3e9f-451c-898e-9a1da643aafe"},"application":{"displayName":null,"id":"75f31797-37c9-498e-8dc9-53c16a36afca"}}}}</t>
  </si>
  <si>
    <t>2026-10-12T07:23:29.8705559Z</t>
  </si>
  <si>
    <t>8584098171357006846P/</t>
  </si>
  <si>
    <t>2026-10-14T12:29:38.0142120Z</t>
  </si>
  <si>
    <t>Er2oCUuoCkKX8CAjW5UE4GQAKaCr</t>
  </si>
  <si>
    <t>Add New Audience to target (Hidden audience - Office managers, team mgrs)</t>
  </si>
  <si>
    <t>f1v-2jW3aU-0dIkZTM4BkGQAEhcr</t>
  </si>
  <si>
    <t>[Inbox]</t>
  </si>
  <si>
    <t>{"129b8133-2f40-46f4-8391-49fec10f3174":{"@odata.type":"#microsoft.graph.plannerAssignment","assignedDateTime":"2026-10-12T03:09:28.9045295Z","orderHint":"\"","assignedBy":{"user":{"displayName":null,"id":"129b8133-2f40-46f4-8391-49fec10f3174"},"application":{"displayName":null,"id":"75f31797-37c9-498e-8dc9-53c16a36afca"}}}}</t>
  </si>
  <si>
    <t>2026-10-12T03:09:28.9045938Z</t>
  </si>
  <si>
    <t>{"category12":true,"category23":true}</t>
  </si>
  <si>
    <t>[{"id":"09f4523ccb794e4690bb13e7b0640407","value":{"@odata.type":"#microsoft.graph.plannerChecklistItem","isChecked":false,"title":"define methods to reach them","orderHint":"858409832248","lastModifiedDateTime":"2026-10-12T03:11:13.1603489Z","lastModifiedBy":{"user":{"displayName":null,"id":"129b8133-2f40-46f4-8391-49fec10f3174"}}}},{"id":"94ef38d8bc3a4396b1f083136acc377b","value":{"@odata.type":"#microsoft.graph.plannerChecklistItem","isChecked":false,"title":"define job titles","orderHint":"8584098322894692732P4","lastModifiedDateTime":"2026-10-12T03:10:56.0375476Z","lastModifiedBy":{"user":{"displayName":null,"id":"129b8133-2f40-46f4-8391-49fec10f3174"}}}}]</t>
  </si>
  <si>
    <t>8584098323766777995P4</t>
  </si>
  <si>
    <t>ADS- Setup, * Project</t>
  </si>
  <si>
    <t>2026-10-14T12:29:40.3893022Z</t>
  </si>
  <si>
    <t>AKJYMO8S3Ea60DEEzc28LmQAOj-s</t>
  </si>
  <si>
    <t>Reply Terre Nunez with LI PO once approved</t>
  </si>
  <si>
    <t>{"d8b70168-3e9f-451c-898e-9a1da643aafe":{"@odata.type":"#microsoft.graph.plannerAssignment","assignedDateTime":"2026-10-12T02:24:03.7774707Z","orderHint":"\"","assignedBy":{"user":{"displayName":null,"id":"d8b70168-3e9f-451c-898e-9a1da643aafe"},"application":{"displayName":null,"id":"75f31797-37c9-498e-8dc9-53c16a36afca"}}}}</t>
  </si>
  <si>
    <t>2026-10-12T02:24:03.777534Z</t>
  </si>
  <si>
    <t>{"category19":true}</t>
  </si>
  <si>
    <t>8584098351017463365PI</t>
  </si>
  <si>
    <t>LinkedIn</t>
  </si>
  <si>
    <t>2026-10-14T12:29:42.7023666Z</t>
  </si>
  <si>
    <t>mMmFoceMMEmFO3y4JA0afGQAEw2l</t>
  </si>
  <si>
    <t>test</t>
  </si>
  <si>
    <t>2026-10-12T00:46:47.4373798Z</t>
  </si>
  <si>
    <t>8584098409380764043P.</t>
  </si>
  <si>
    <t>2026-10-14T12:29:44.8960597Z</t>
  </si>
  <si>
    <t>br8t-rntrUOjV55q25GzK2QAA9p-</t>
  </si>
  <si>
    <t>Verify 'Steelcase leads AI search' claim</t>
  </si>
  <si>
    <t>{"129b8133-2f40-46f4-8391-49fec10f3174":{"@odata.type":"#microsoft.graph.plannerAssignment","assignedDateTime":"2026-10-09T11:07:22.8271279Z","orderHint":"\"","assignedBy":{"user":{"displayName":null,"id":"129b8133-2f40-46f4-8391-49fec10f3174"},"application":{"displayName":null,"id":"75f31797-37c9-498e-8dc9-53c16a36afca"}}}}</t>
  </si>
  <si>
    <t>2026-10-09T11:07:09.8282403Z</t>
  </si>
  <si>
    <t>{"category18":true}</t>
  </si>
  <si>
    <t>8584100629157059591PI</t>
  </si>
  <si>
    <t>Event</t>
  </si>
  <si>
    <t>2026-10-14T12:29:47.4443681Z</t>
  </si>
  <si>
    <t>vhFU2Oj87EGqLsTanL_ShWQAHjKR</t>
  </si>
  <si>
    <t>Answer INC3041837 Azure questions</t>
  </si>
  <si>
    <t>{"129b8133-2f40-46f4-8391-49fec10f3174":{"@odata.type":"#microsoft.graph.plannerAssignment","assignedDateTime":"2026-10-09T11:06:28.6120394Z","orderHint":"\"","assignedBy":{"user":{"displayName":null,"id":"129b8133-2f40-46f4-8391-49fec10f3174"},"application":{"displayName":null,"id":"75f31797-37c9-498e-8dc9-53c16a36afca"}}}}</t>
  </si>
  <si>
    <t>2026-10-09T11:06:13.0965809Z</t>
  </si>
  <si>
    <t>8584100629724288304P"</t>
  </si>
  <si>
    <t>2026-10-14T12:29:49.6521131Z</t>
  </si>
  <si>
    <t>X_0Uh7TKuEW8MfqWzw4nM2QACOGm</t>
  </si>
  <si>
    <t>Danielle's QR → leads form (scope change)</t>
  </si>
  <si>
    <t>{"129b8133-2f40-46f4-8391-49fec10f3174":{"@odata.type":"#microsoft.graph.plannerAssignment","assignedDateTime":"2026-10-09T11:05:24.2288364Z","orderHint":"\"","assignedBy":{"user":{"displayName":null,"id":"129b8133-2f40-46f4-8391-49fec10f3174"},"application":{"displayName":null,"id":"75f31797-37c9-498e-8dc9-53c16a36afca"}}}}</t>
  </si>
  <si>
    <t>2026-10-09T11:05:08.8291812Z</t>
  </si>
  <si>
    <t>[{"id":"ed653278d1e0437d89fb6697330788d0","value":{"@odata.type":"#microsoft.graph.plannerChecklistItem","isChecked":false,"title":"Confirm 100pc print run for Jerry Leng's conferences","orderHint":"858410062=C","lastModifiedDateTime":"2026-10-09T11:05:59.8611622Z","lastModifiedBy":{"user":{"displayName":null,"id":"129b8133-2f40-46f4-8391-49fec10f3174"}}}},{"id":"9d5fa51ee87647128efc4a82d1eb766c","value":{"@odata.type":"#microsoft.graph.plannerChecklistItem","isChecked":false,"title":"Confirm QR → leads form (name/company/phone/city)","orderHint":"8584100630029394069P7","lastModifiedDateTime":"2026-10-09T11:05:42.5796283Z","lastModifiedBy":{"user":{"displayName":null,"id":"129b8133-2f40-46f4-8391-49fec10f3174"}}}},{"id":"30e6afe23e8f40ea947348255d66619a","value":{"@odata.type":"#microsoft.graph.plannerChecklistItem","isChecked":false,"title":"Set up the report as the second step","orderHint":"858410062A0","lastModifiedDateTime":"2026-10-09T11:05:55.4703642Z","lastModifiedBy":{"user":{"displayName":null,"id":"129b8133-2f40-46f4-8391-49fec10f3174"}}}},{"id":"056c82fe1e714d46b5ece444d5c4471d","value":{"@odata.type":"#microsoft.graph.plannerChecklistItem","isChecked":false,"title":"Fix the failed 4:34 PM Planner ticket attachment","orderHint":"858410062\\D","lastModifiedDateTime":"2026-10-09T11:05:46.8173301Z","lastModifiedBy":{"user":{"displayName":null,"id":"129b8133-2f40-46f4-8391-49fec10f3174"}}}},{"id":"2d1751fd5b524eb7b29b75ac8621252a","value":{"@odata.type":"#microsoft.graph.plannerChecklistItem","isChecked":false,"title":"Build the leads form","orderHint":"858410062J&gt;","lastModifiedDateTime":"2026-10-09T11:05:51.0028168Z","lastModifiedBy":{"user":{"displayName":null,"id":"129b8133-2f40-46f4-8391-49fec10f3174"}}}}]</t>
  </si>
  <si>
    <t>8584100630366877635P(</t>
  </si>
  <si>
    <t>2026-10-14T12:29:52.3069550Z</t>
  </si>
  <si>
    <t>HgndDzXESEuaNElMclYyzmQAEoEe</t>
  </si>
  <si>
    <t>Chase Meta invoice $9,289.18 (7 days past due)</t>
  </si>
  <si>
    <t>{"129b8133-2f40-46f4-8391-49fec10f3174":{"@odata.type":"#microsoft.graph.plannerAssignment","assignedDateTime":"2026-10-09T11:04:40.5910619Z","orderHint":"\"","assignedBy":{"user":{"displayName":null,"id":"129b8133-2f40-46f4-8391-49fec10f3174"},"application":{"displayName":null,"id":"75f31797-37c9-498e-8dc9-53c16a36afca"}}}}</t>
  </si>
  <si>
    <t>2026-10-09T11:04:12.261498Z</t>
  </si>
  <si>
    <t>{"category20":true}</t>
  </si>
  <si>
    <t>8584100630933412829P=</t>
  </si>
  <si>
    <t>Facebook</t>
  </si>
  <si>
    <t>2026-10-14T12:29:55.6621255Z</t>
  </si>
  <si>
    <t>LfB9M_IOAE2qbOfWv5iEDmQAL2v1</t>
  </si>
  <si>
    <t>Steelcase Reva - Multiuse Ancillary Seating Chair</t>
  </si>
  <si>
    <t>{"b0dde2c9-92a4-4d86-a4fd-2a130944956f":{"@odata.type":"#microsoft.graph.plannerAssignment","assignedDateTime":"2026-10-13T09:04:31.7446698Z","orderHint":"\"","assignedBy":{"user":{"displayName":null,"id":"b0dde2c9-92a4-4d86-a4fd-2a130944956f"},"application":{"displayName":null,"id":"75f31797-37c9-498e-8dc9-53c16a36afca"}}}}</t>
  </si>
  <si>
    <t>2026-10-09T09:54:52.7002082Z</t>
  </si>
  <si>
    <t>2026-10-26T00:00:00Z</t>
  </si>
  <si>
    <t>{"category1":true}</t>
  </si>
  <si>
    <t xml:space="preserve">Requester Name: Jayakumar Thimmanna | Requester Email:  Task Description: Need to create new product page in Village for the Steelcase Reva - Multiuse Ancillary Seating Chair
Copy writing: 
Digital Marketing Request Expectations: 
Reference materials or links: https://steelcase-my.sharepoint.com/:p:/p/jthimman/IQAUE0WlinNaSbrXhSBZwl-mAUXl1wg_8Iboa9MUAahzUbA?e=ZnqH4p
Request Details: 
Timeline &amp; Priority: </t>
  </si>
  <si>
    <t>Web-dotcom</t>
  </si>
  <si>
    <t>2026-10-14T12:29:57.7218275Z</t>
  </si>
  <si>
    <t>leF1KFTmkUuLXCazqQQJTmQAE25d</t>
  </si>
  <si>
    <t>Create QR code for learning Report</t>
  </si>
  <si>
    <t>{"b0dde2c9-92a4-4d86-a4fd-2a130944956f":{"@odata.type":"#microsoft.graph.plannerAssignment","assignedDateTime":"2026-10-09T08:30:54.0062619Z","orderHint":"\"","assignedBy":{"user":{"displayName":null,"id":"b77c0d44-3329-4e17-989f-e8807a7b9a80"},"application":{"displayName":null,"id":"75f31797-37c9-498e-8dc9-53c16a36afca"}}}}</t>
  </si>
  <si>
    <t>2026-10-09T08:30:54.0063138Z</t>
  </si>
  <si>
    <t>b77c0d44-3329-4e17-989f-e8807a7b9a80</t>
  </si>
  <si>
    <t>2026-10-15T10:00:00Z</t>
  </si>
  <si>
    <t>8584100722915455148P&amp;</t>
  </si>
  <si>
    <t>2026-10-14T12:30:00.1620738Z</t>
  </si>
  <si>
    <t>adeUyIiUaUeiJYqmNDs2IGQANrAt</t>
  </si>
  <si>
    <t>Update Open AI team on the upcoming campaign after setup</t>
  </si>
  <si>
    <t>{"d8b70168-3e9f-451c-898e-9a1da643aafe":{"@odata.type":"#microsoft.graph.plannerAssignment","assignedDateTime":"2026-10-09T06:20:02.7836362Z","orderHint":"\"","assignedBy":{"user":{"displayName":null,"id":"d8b70168-3e9f-451c-898e-9a1da643aafe"},"application":{"displayName":null,"id":"75f31797-37c9-498e-8dc9-53c16a36afca"}}}}</t>
  </si>
  <si>
    <t>2026-10-09T06:20:02.7836998Z</t>
  </si>
  <si>
    <t>{"category25":true}</t>
  </si>
  <si>
    <t>8584100801427457068PN</t>
  </si>
  <si>
    <t>Open AI</t>
  </si>
  <si>
    <t>2026-10-14T12:30:03.2200942Z</t>
  </si>
  <si>
    <t>4chpN0fZ2UKOHZEibPWeN2QAPcZQ</t>
  </si>
  <si>
    <t>Google events creation &amp; tracking</t>
  </si>
  <si>
    <t>Q-B-9LalqE6gH1IrVdcQdmQAI0FV</t>
  </si>
  <si>
    <t xml:space="preserve">Waiting </t>
  </si>
  <si>
    <t>{"d8b70168-3e9f-451c-898e-9a1da643aafe":{"@odata.type":"#microsoft.graph.plannerAssignment","assignedDateTime":"2026-10-09T06:19:26.3716037Z","orderHint":"\"","assignedBy":{"user":{"displayName":null,"id":"d8b70168-3e9f-451c-898e-9a1da643aafe"},"application":{"displayName":null,"id":"75f31797-37c9-498e-8dc9-53c16a36afca"}}}}</t>
  </si>
  <si>
    <t>2026-10-09T06:19:26.3716559Z</t>
  </si>
  <si>
    <t>8584100801791421405PM</t>
  </si>
  <si>
    <t>2026-10-14T12:30:08.7218745Z</t>
  </si>
  <si>
    <t>K9hqCEij20CrlLBOi8jLaGQAEfzk</t>
  </si>
  <si>
    <t>Strategy Workshop Oct 12 — final prep</t>
  </si>
  <si>
    <t>{"129b8133-2f40-46f4-8391-49fec10f3174":{"@odata.type":"#microsoft.graph.plannerAssignment","assignedDateTime":"2026-10-09T04:37:09.8928979Z","orderHint":"\"","assignedBy":{"user":{"displayName":null,"id":"129b8133-2f40-46f4-8391-49fec10f3174"},"application":{"displayName":null,"id":"75f31797-37c9-498e-8dc9-53c16a36afca"}}}}</t>
  </si>
  <si>
    <t>2026-10-09T04:36:53.6358786Z</t>
  </si>
  <si>
    <t>2026-10-12T10:00:00Z</t>
  </si>
  <si>
    <t>{"category18":true,"category23":true}</t>
  </si>
  <si>
    <t>NOTE: APAC Brand &amp; Comms strategy workshop (2027-2029 planning). Pre-work decks from Jacky, Ivanka, Joey are in.</t>
  </si>
  <si>
    <t>[{"id":"eb48fe711c9145a896a70e5c0485c9a0","value":{"@odata.type":"#microsoft.graph.plannerChecklistItem","isChecked":true,"title":"Task created and scoped in Planner","orderHint":"858410085ZG","lastModifiedDateTime":"2026-10-09T04:49:12.6736335Z","lastModifiedBy":{"user":{"displayName":null,"id":"129b8133-2f40-46f4-8391-49fec10f3174"}}}},{"id":"875e88bc05ae4790bdf7a58095a20474","value":{"@odata.type":"#microsoft.graph.plannerChecklistItem","isChecked":false,"title":"Attend the Oct 12 workshop","orderHint":"85841008623'","lastModifiedDateTime":"2026-10-09T04:37:41.9091976Z","lastModifiedBy":{"user":{"displayName":null,"id":"129b8133-2f40-46f4-8391-49fec10f3174"}}}},{"id":"34d33856128a486a840657531f819807","value":{"@odata.type":"#microsoft.graph.plannerChecklistItem","isChecked":false,"title":"Capture actions and file in vault","orderHint":"85841008622*","lastModifiedDateTime":"2026-10-09T04:37:48.3144728Z","lastModifiedBy":{"user":{"displayName":null,"id":"129b8133-2f40-46f4-8391-49fec10f3174"}}}},{"id":"710e2eb5da5e435babba7dd250d0c914","value":{"@odata.type":"#microsoft.graph.plannerChecklistItem","isChecked":false,"title":"Prep Adam's talking points","orderHint":"85841008624E","lastModifiedDateTime":"2026-10-09T04:37:36.0252195Z","lastModifiedBy":{"user":{"displayName":null,"id":"129b8133-2f40-46f4-8391-49fec10f3174"}}}},{"id":"8e9f75e5ec1749b8b7501348f2374a26","value":{"@odata.type":"#microsoft.graph.plannerChecklistItem","isChecked":false,"title":"Confirm all pre-work decks are in (Jacky, Ivanka, Joey done)","orderHint":"8584100862986082487P.","lastModifiedDateTime":"2026-10-09T04:37:26.8984464Z","lastModifiedBy":{"user":{"displayName":null,"id":"129b8133-2f40-46f4-8391-49fec10f3174"}}}},{"id":"cf6ca40a45864f68a989696b78bf5f1f","value":{"@odata.type":"#microsoft.graph.plannerChecklistItem","isChecked":false,"title":"Review the 2027-2029 planning agenda","orderHint":"858410086267","lastModifiedDateTime":"2026-10-09T04:37:31.5475389Z","lastModifiedBy":{"user":{"displayName":null,"id":"129b8133-2f40-46f4-8391-49fec10f3174"}}}}]</t>
  </si>
  <si>
    <t>8584100863318789755PD</t>
  </si>
  <si>
    <t>Event, * Project</t>
  </si>
  <si>
    <t>2026-10-14T12:30:11.9463257Z</t>
  </si>
  <si>
    <t>TMCfdcZXiUWBvUiiI_Rrd2QAMnum</t>
  </si>
  <si>
    <t>steelcase.kr — align with Korean team on website plan</t>
  </si>
  <si>
    <t>{"129b8133-2f40-46f4-8391-49fec10f3174":{"@odata.type":"#microsoft.graph.plannerAssignment","assignedDateTime":"2026-10-09T04:36:18.6669503Z","orderHint":"\"","assignedBy":{"user":{"displayName":null,"id":"129b8133-2f40-46f4-8391-49fec10f3174"},"application":{"displayName":null,"id":"75f31797-37c9-498e-8dc9-53c16a36afca"}}}}</t>
  </si>
  <si>
    <t>2026-10-09T04:36:01.925572Z</t>
  </si>
  <si>
    <t>{"category1":true,"category23":true}</t>
  </si>
  <si>
    <t>NOTE: steelcase.kr is live (DNS propagated 10/7). Ivanka arranging a meeting with the Korean team to align on the website plan.</t>
  </si>
  <si>
    <t>[{"id":"3f2ecf4259f74017af7627306a70ce63","value":{"@odata.type":"#microsoft.graph.plannerChecklistItem","isChecked":true,"title":"Task created and scoped in Planner","orderHint":"858410085ZG","lastModifiedDateTime":"2026-10-09T04:48:42.8848582Z","lastModifiedBy":{"user":{"displayName":null,"id":"129b8133-2f40-46f4-8391-49fec10f3174"}}}},{"id":"e014f88b54f2443996b95ed3063feab7","value":{"@odata.type":"#microsoft.graph.plannerChecklistItem","isChecked":false,"title":"Lock next steps and owners","orderHint":"8584100862A?","lastModifiedDateTime":"2026-10-09T04:36:40.613784Z","lastModifiedBy":{"user":{"displayName":null,"id":"129b8133-2f40-46f4-8391-49fec10f3174"}}}},{"id":"a1c91a016e29434896eafd100300fd72","value":{"@odata.type":"#microsoft.graph.plannerChecklistItem","isChecked":false,"title":"Wait for Ivanka's meeting invite with the Korean team","orderHint":"8584100863584674403P0","lastModifiedDateTime":"2026-10-09T04:36:27.0276403Z","lastModifiedBy":{"user":{"displayName":null,"id":"129b8133-2f40-46f4-8391-49fec10f3174"}}}},{"id":"1bf9e0c2045b4fd297b3549398e69273","value":{"@odata.type":"#microsoft.graph.plannerChecklistItem","isChecked":false,"title":"Hold the alignment meeting","orderHint":"8584100862JM","lastModifiedDateTime":"2026-10-09T04:36:35.8951614Z","lastModifiedBy":{"user":{"displayName":null,"id":"129b8133-2f40-46f4-8391-49fec10f3174"}}}},{"id":"850af163002b4db4973b92d14945cd7e","value":{"@odata.type":"#microsoft.graph.plannerChecklistItem","isChecked":false,"title":"Prep the website plan and open questions","orderHint":"8584100862\\G","lastModifiedDateTime":"2026-10-09T04:36:31.3982649Z","lastModifiedBy":{"user":{"displayName":null,"id":"129b8133-2f40-46f4-8391-49fec10f3174"}}}}]</t>
  </si>
  <si>
    <t>8584100863835883016PN</t>
  </si>
  <si>
    <t>Web-dotcom, * Project</t>
  </si>
  <si>
    <t>2026-10-14T12:30:15.9077867Z</t>
  </si>
  <si>
    <t>5OXEHuDDIEW6grPiG9vrXGQAP5Hk</t>
  </si>
  <si>
    <t>Take Meta Pro Team call (ROAS drop)</t>
  </si>
  <si>
    <t>{"129b8133-2f40-46f4-8391-49fec10f3174":{"@odata.type":"#microsoft.graph.plannerAssignment","assignedDateTime":"2026-10-09T04:35:24.0466363Z","orderHint":"\"","assignedBy":{"user":{"displayName":null,"id":"129b8133-2f40-46f4-8391-49fec10f3174"},"application":{"displayName":null,"id":"75f31797-37c9-498e-8dc9-53c16a36afca"}}}}</t>
  </si>
  <si>
    <t>2026-10-09T04:35:06.690984Z</t>
  </si>
  <si>
    <t>NOTE: Tyler T. (Meta Pro Team) flagged a ROAS drop on LeadGen_AI Quick Guide_IND_RMKT_Jul26 (running since Jul 20). Take the call, agree next steps.</t>
  </si>
  <si>
    <t>[{"id":"2019dd96386842bf8cf54e4b615ad188","value":{"@odata.type":"#microsoft.graph.plannerChecklistItem","isChecked":false,"title":"Implement and monitor","orderHint":"8584100863&lt;L","lastModifiedDateTime":"2026-10-09T04:35:48.5640392Z","lastModifiedBy":{"user":{"displayName":null,"id":"129b8133-2f40-46f4-8391-49fec10f3174"}}}},{"id":"c01c3165bc1746789ad1a77978158c62","value":{"@odata.type":"#microsoft.graph.plannerChecklistItem","isChecked":false,"title":"Agree next steps (budget, creative, targeting)","orderHint":"8584100863F2","lastModifiedDateTime":"2026-10-09T04:35:43.5798046Z","lastModifiedBy":{"user":{"displayName":null,"id":"129b8133-2f40-46f4-8391-49fec10f3174"}}}},{"id":"c40636d8a23c432fb442681f532a2822","value":{"@odata.type":"#microsoft.graph.plannerChecklistItem","isChecked":false,"title":"Take Tyler T.'s call","orderHint":"8584100863Y3","lastModifiedDateTime":"2026-10-09T04:35:38.4959496Z","lastModifiedBy":{"user":{"displayName":null,"id":"129b8133-2f40-46f4-8391-49fec10f3174"}}}},{"id":"6503564e51f74a4ea1b67bd6a0004c0e","value":{"@odata.type":"#microsoft.graph.plannerChecklistItem","isChecked":true,"title":"Task created and scoped in Planner","orderHint":"858410085Z$","lastModifiedDateTime":"2026-10-09T04:48:12.9747983Z","lastModifiedBy":{"user":{"displayName":null,"id":"129b8133-2f40-46f4-8391-49fec10f3174"}}}},{"id":"30b02d487dc44838a48f6e07a3ce32c6","value":{"@odata.type":"#microsoft.graph.plannerChecklistItem","isChecked":false,"title":"Pull the ROAS trend for LeadGen_AI Quick Guide_IND_RMKT_Jul26","orderHint":"8584100864121882587P8","lastModifiedDateTime":"2026-10-09T04:35:33.3100047Z","lastModifiedBy":{"user":{"displayName":null,"id":"129b8133-2f40-46f4-8391-49fec10f3174"}}}}]</t>
  </si>
  <si>
    <t>8584100864388426655PB</t>
  </si>
  <si>
    <t>2026-10-14T12:30:18.9278201Z</t>
  </si>
  <si>
    <t>DaeTMcz8QUmTxhgk52nnimQALPOs</t>
  </si>
  <si>
    <t>Chase LinkedIn invoice $589.46 (overdue Oct 2)</t>
  </si>
  <si>
    <t>{"129b8133-2f40-46f4-8391-49fec10f3174":{"@odata.type":"#microsoft.graph.plannerAssignment","assignedDateTime":"2026-10-09T04:34:30.3579442Z","orderHint":"\"","assignedBy":{"user":{"displayName":null,"id":"129b8133-2f40-46f4-8391-49fec10f3174"},"application":{"displayName":null,"id":"75f31797-37c9-498e-8dc9-53c16a36afca"}}}}</t>
  </si>
  <si>
    <t>2026-10-09T04:34:13.6131413Z</t>
  </si>
  <si>
    <t>NOTE: Invoice 10113298394, $589.46 overdue since Oct 2. Check with Michelle Koo / finance, chase AP.</t>
  </si>
  <si>
    <t>[{"id":"faf103d1f8e84346911787b2b81a3f93","value":{"@odata.type":"#microsoft.graph.plannerChecklistItem","isChecked":false,"title":"Confirm the $589.46 balance on invoice 10113298394","orderHint":"8584100864663969520PA","lastModifiedDateTime":"2026-10-09T04:34:39.1038755Z","lastModifiedBy":{"user":{"displayName":null,"id":"129b8133-2f40-46f4-8391-49fec10f3174"}}}},{"id":"9fee25a561c14606aaa3860bc79a5c45","value":{"@odata.type":"#microsoft.graph.plannerChecklistItem","isChecked":false,"title":"Chase AP if still unpaid","orderHint":"8584100863\\E","lastModifiedDateTime":"2026-10-09T04:34:48.4189836Z","lastModifiedBy":{"user":{"displayName":null,"id":"129b8133-2f40-46f4-8391-49fec10f3174"}}}},{"id":"5baa5296062e4da4b8ce2550dc0cdb39","value":{"@odata.type":"#microsoft.graph.plannerChecklistItem","isChecked":false,"title":"Confirm receipt and close","orderHint":"8584100863J$","lastModifiedDateTime":"2026-10-09T04:34:53.2586106Z","lastModifiedBy":{"user":{"displayName":null,"id":"129b8133-2f40-46f4-8391-49fec10f3174"}}}},{"id":"368317fd34f54e8185055f90079181a1","value":{"@odata.type":"#microsoft.graph.plannerChecklistItem","isChecked":true,"title":"Task created and scoped in Planner","orderHint":"858410085ZJ","lastModifiedDateTime":"2026-10-09T04:47:49.1351742Z","lastModifiedBy":{"user":{"displayName":null,"id":"129b8133-2f40-46f4-8391-49fec10f3174"}}}},{"id":"40ff86828ecd4c5ea7a75844b47b1e10","value":{"@odata.type":"#microsoft.graph.plannerChecklistItem","isChecked":false,"title":"Check with Michelle Koo / finance on payment status","orderHint":"85841008643/","lastModifiedDateTime":"2026-10-09T04:34:43.7092789Z","lastModifiedBy":{"user":{"displayName":null,"id":"129b8133-2f40-46f4-8391-49fec10f3174"}}}}]</t>
  </si>
  <si>
    <t>8584100864919263006PE</t>
  </si>
  <si>
    <t>2026-10-14T12:30:21.7429372Z</t>
  </si>
  <si>
    <t>2Rn56KJET0mNFn3o5rQTNmQAPyyS</t>
  </si>
  <si>
    <t>Decide: Gus Wick 6-point reply — send or drop</t>
  </si>
  <si>
    <t>{"129b8133-2f40-46f4-8391-49fec10f3174":{"@odata.type":"#microsoft.graph.plannerAssignment","assignedDateTime":"2026-10-09T04:33:37.2796923Z","orderHint":"\"","assignedBy":{"user":{"displayName":null,"id":"129b8133-2f40-46f4-8391-49fec10f3174"},"application":{"displayName":null,"id":"75f31797-37c9-498e-8dc9-53c16a36afca"}}}}</t>
  </si>
  <si>
    <t>2026-10-09T04:33:16.0613595Z</t>
  </si>
  <si>
    <t>{"category10":true,"category23":true}</t>
  </si>
  <si>
    <t>NOTE: Gus Wick (Mahlab) sent a 5-step HubSpot tracking proposal 10/2 answering Michelle's 4 monthly questions. Adam's reworked reply is unsent — decide: send, soften, or drop.</t>
  </si>
  <si>
    <t>[{"id":"ec79c926981f424aa94c27b22092a646","value":{"@odata.type":"#microsoft.graph.plannerChecklistItem","isChecked":false,"title":"Decide: send as-is, soften, or drop","orderHint":"8584100864Z:","lastModifiedDateTime":"2026-10-09T04:33:50.2835019Z","lastModifiedBy":{"user":{"displayName":null,"id":"129b8133-2f40-46f4-8391-49fec10f3174"}}}},{"id":"9d0fcfb148e14efa944672ac7ec9ae87","value":{"@odata.type":"#microsoft.graph.plannerChecklistItem","isChecked":true,"title":"Task created and scoped in Planner","orderHint":"858410085Z+","lastModifiedDateTime":"2026-10-09T04:47:22.573966Z","lastModifiedBy":{"user":{"displayName":null,"id":"129b8133-2f40-46f4-8391-49fec10f3174"}}}},{"id":"8f8e64c9ec9349079fedb26c99122c8b","value":{"@odata.type":"#microsoft.graph.plannerChecklistItem","isChecked":false,"title":"Send and log the decision in the vault","orderHint":"8584100864=/","lastModifiedDateTime":"2026-10-09T04:34:00.1674872Z","lastModifiedBy":{"user":{"displayName":null,"id":"129b8133-2f40-46f4-8391-49fec10f3174"}}}},{"id":"03e8952971894413b522a00206ddb16d","value":{"@odata.type":"#microsoft.graph.plannerChecklistItem","isChecked":false,"title":"If sending, get the tone right for an external consultant","orderHint":"8584100864G7","lastModifiedDateTime":"2026-10-09T04:33:55.2129095Z","lastModifiedBy":{"user":{"displayName":null,"id":"129b8133-2f40-46f4-8391-49fec10f3174"}}}},{"id":"7841d6dba1d54ebb95e33eb0dc14b345","value":{"@odata.type":"#microsoft.graph.plannerChecklistItem","isChecked":false,"title":"Re-read Gus's 5-step proposal and the draft reply","orderHint":"8584100865199068787P?","lastModifiedDateTime":"2026-10-09T04:33:45.5911695Z","lastModifiedBy":{"user":{"displayName":null,"id":"129b8133-2f40-46f4-8391-49fec10f3174"}}}}]</t>
  </si>
  <si>
    <t>8584100865494553068PL</t>
  </si>
  <si>
    <t>Hubspot, * Project</t>
  </si>
  <si>
    <t>2026-10-14T12:30:24.4544058Z</t>
  </si>
  <si>
    <t>Md1xDFpLy0WPMKnOvCrDKGQAN204</t>
  </si>
  <si>
    <t>Send Mariela reply draft (HubSpot sync)</t>
  </si>
  <si>
    <t>{"129b8133-2f40-46f4-8391-49fec10f3174":{"@odata.type":"#microsoft.graph.plannerAssignment","assignedDateTime":"2026-10-09T04:32:28.6293532Z","orderHint":"\"","assignedBy":{"user":{"displayName":null,"id":"129b8133-2f40-46f4-8391-49fec10f3174"},"application":{"displayName":null,"id":"75f31797-37c9-498e-8dc9-53c16a36afca"}}}}</t>
  </si>
  <si>
    <t>2026-10-09T04:32:11.6526374Z</t>
  </si>
  <si>
    <t>NOTE: Adam's reply draft sits unsent in Outlook drafts (re-saved 10/6) — corrects the inclusion-list read, confirms test-lead cleanup, asks workflow usage vs the 1,100 cap.</t>
  </si>
  <si>
    <t>[{"id":"7de14079db7947f38e2b3ba585d58772","value":{"@odata.type":"#microsoft.graph.plannerChecklistItem","isChecked":false,"title":"Confirm the workflow usage vs 1,100 cap question is clear","orderHint":"85841008652,","lastModifiedDateTime":"2026-10-09T04:32:52.7982339Z","lastModifiedBy":{"user":{"displayName":null,"id":"129b8133-2f40-46f4-8391-49fec10f3174"}}}},{"id":"11c9be19a1434c638163fe9415375b90","value":{"@odata.type":"#microsoft.graph.plannerChecklistItem","isChecked":false,"title":"File the sent reply in the vault","orderHint":"85841008650XA","lastModifiedDateTime":"2026-10-09T04:33:02.8169636Z","lastModifiedBy":{"user":{"displayName":null,"id":"129b8133-2f40-46f4-8391-49fec10f3174"}}}},{"id":"3d1a0814f0cb4f3e9d256a90f6c4ab46","value":{"@odata.type":"#microsoft.graph.plannerChecklistItem","isChecked":false,"title":"Re-read the draft in Outlook drafts","orderHint":"8584100865880135797PF","lastModifiedDateTime":"2026-10-09T04:32:37.4827851Z","lastModifiedBy":{"user":{"displayName":null,"id":"129b8133-2f40-46f4-8391-49fec10f3174"}}}},{"id":"6a4bbc8cb9ad4324b79d9af70d671b5c","value":{"@odata.type":"#microsoft.graph.plannerChecklistItem","isChecked":true,"title":"Task created and scoped in Planner","orderHint":"858410085Z&gt;","lastModifiedDateTime":"2026-10-09T04:46:54.344652Z","lastModifiedBy":{"user":{"displayName":null,"id":"129b8133-2f40-46f4-8391-49fec10f3174"}}}},{"id":"95e26719ff7f491da323f78701d7a31b","value":{"@odata.type":"#microsoft.graph.plannerChecklistItem","isChecked":false,"title":"Verify the inclusion-list screenshot is attached","orderHint":"85841008654K","lastModifiedDateTime":"2026-10-09T04:32:47.9148055Z","lastModifiedBy":{"user":{"displayName":null,"id":"129b8133-2f40-46f4-8391-49fec10f3174"}}}},{"id":"11bc7f1dec1f46e0a0c84bacd8bb9a06","value":{"@odata.type":"#microsoft.graph.plannerChecklistItem","isChecked":false,"title":"Send to Mariela (cc Aisah, Rebecca)","orderHint":"85841008651:","lastModifiedDateTime":"2026-10-09T04:32:57.6819011Z","lastModifiedBy":{"user":{"displayName":null,"id":"129b8133-2f40-46f4-8391-49fec10f3174"}}}}]</t>
  </si>
  <si>
    <t>8584100866138677186PJ</t>
  </si>
  <si>
    <t>2026-10-14T12:30:27.3311782Z</t>
  </si>
  <si>
    <t>VSxpiViweEKP0dqcIz8ulWQAP2dl</t>
  </si>
  <si>
    <t>Follow up: Aisah's HubSpot workflow audit (due Oct 12)</t>
  </si>
  <si>
    <t>{"129b8133-2f40-46f4-8391-49fec10f3174":{"@odata.type":"#microsoft.graph.plannerAssignment","assignedDateTime":"2026-10-09T04:31:21.6193137Z","orderHint":"\"","assignedBy":{"user":{"displayName":null,"id":"129b8133-2f40-46f4-8391-49fec10f3174"},"application":{"displayName":null,"id":"75f31797-37c9-498e-8dc9-53c16a36afca"}}}}</t>
  </si>
  <si>
    <t>2026-10-09T04:31:03.400297Z</t>
  </si>
  <si>
    <t>NOTE: Aisah committed (10/5) to reply to Mariela Marquez by Mon Oct 12 on the HubSpot workflow audit. Related vault note: HS + SF/HubSpot-Salesforce overview.md.</t>
  </si>
  <si>
    <t>[{"id":"bab0b57c953841ad91b10b18fc6b9fe9","value":{"@odata.type":"#microsoft.graph.plannerChecklistItem","isChecked":false,"title":"Confirm test-lead cleanup and auto-enrollment status","orderHint":"8584100865I+","lastModifiedDateTime":"2026-10-09T04:31:47.8833865Z","lastModifiedBy":{"user":{"displayName":null,"id":"129b8133-2f40-46f4-8391-49fec10f3174"}}}},{"id":"cc8a86aef60343ea9fd7ddb9ccb7884b","value":{"@odata.type":"#microsoft.graph.plannerChecklistItem","isChecked":false,"title":"Check whether Aisah has started the workflow audit","orderHint":"8584100866469614076P6","lastModifiedDateTime":"2026-10-09T04:31:38.5342121Z","lastModifiedBy":{"user":{"displayName":null,"id":"129b8133-2f40-46f4-8391-49fec10f3174"}}}},{"id":"387a6fab7bf54d44b7e2aa462494ef66","value":{"@odata.type":"#microsoft.graph.plannerChecklistItem","isChecked":true,"title":"Task created and scoped in Planner","orderHint":"858410085[?","lastModifiedDateTime":"2026-10-09T04:46:22.4940844Z","lastModifiedBy":{"user":{"displayName":null,"id":"129b8133-2f40-46f4-8391-49fec10f3174"}}}},{"id":"87a73bb3030b4146b9bcf24237814ffc","value":{"@odata.type":"#microsoft.graph.plannerChecklistItem","isChecked":false,"title":"Review her findings against Mariela's cleanup list","orderHint":"8584100865[F","lastModifiedDateTime":"2026-10-09T04:31:43.3597616Z","lastModifiedBy":{"user":{"displayName":null,"id":"129b8133-2f40-46f4-8391-49fec10f3174"}}}},{"id":"46e05fe766c846a6b1ef38eb382d3300","value":{"@odata.type":"#microsoft.graph.plannerChecklistItem","isChecked":false,"title":"Nudge if no update by Friday Oct 9","orderHint":"8584100865@;","lastModifiedDateTime":"2026-10-09T04:31:53.2935198Z","lastModifiedBy":{"user":{"displayName":null,"id":"129b8133-2f40-46f4-8391-49fec10f3174"}}}},{"id":"29b11f95058d4fe89d514a4c2e7f8feb","value":{"@odata.type":"#microsoft.graph.plannerChecklistItem","isChecked":false,"title":"Confirm her reply to Mariela goes out by Oct 12","orderHint":"8584100865;5","lastModifiedDateTime":"2026-10-09T04:31:57.8903027Z","lastModifiedBy":{"user":{"displayName":null,"id":"129b8133-2f40-46f4-8391-49fec10f3174"}}}}]</t>
  </si>
  <si>
    <t>8584100866821877089P5</t>
  </si>
  <si>
    <t>2026-10-14T12:30:30.7897056Z</t>
  </si>
  <si>
    <t>SIJSXbO4_E-e-wdloHFW3mQAJHq0</t>
  </si>
  <si>
    <t>Check asset to be used for Traffic / Boost</t>
  </si>
  <si>
    <t>{"d8b70168-3e9f-451c-898e-9a1da643aafe":{"@odata.type":"#microsoft.graph.plannerAssignment","assignedDateTime":"2026-10-09T02:55:13.5443564Z","orderHint":"\"","assignedBy":{"user":{"displayName":null,"id":"d8b70168-3e9f-451c-898e-9a1da643aafe"},"application":{"displayName":null,"id":"75f31797-37c9-498e-8dc9-53c16a36afca"}}}}</t>
  </si>
  <si>
    <t>2026-10-09T02:55:13.5444182Z</t>
  </si>
  <si>
    <t>8584100924319716018PK</t>
  </si>
  <si>
    <t>2026-10-14T12:30:36.3963351Z</t>
  </si>
  <si>
    <t>Ct0P1Ky-s0CCCiHy_ka_wWQAOcJC</t>
  </si>
  <si>
    <t>Check with Ivanka and Chloe on form fields to translate</t>
  </si>
  <si>
    <t>{"d8b70168-3e9f-451c-898e-9a1da643aafe":{"@odata.type":"#microsoft.graph.plannerAssignment","assignedDateTime":"2026-10-09T02:52:46.9033182Z","orderHint":"\"","assignedBy":{"user":{"displayName":null,"id":"d8b70168-3e9f-451c-898e-9a1da643aafe"},"application":{"displayName":null,"id":"75f31797-37c9-498e-8dc9-53c16a36afca"}}}}</t>
  </si>
  <si>
    <t>2026-10-09T02:52:46.9033711Z</t>
  </si>
  <si>
    <t>8584100925786138949P9</t>
  </si>
  <si>
    <t>2026-10-14T12:30:38.8153340Z</t>
  </si>
  <si>
    <t>3JUkRDhCJkucx0XFzr5sjWQAH-dF</t>
  </si>
  <si>
    <t>Share preview with Gus before live</t>
  </si>
  <si>
    <t>{"d8b70168-3e9f-451c-898e-9a1da643aafe":{"@odata.type":"#microsoft.graph.plannerAssignment","assignedDateTime":"2026-10-09T02:52:14.778501Z","orderHint":"\"","assignedBy":{"user":{"displayName":null,"id":"d8b70168-3e9f-451c-898e-9a1da643aafe"},"application":{"displayName":null,"id":"75f31797-37c9-498e-8dc9-53c16a36afca"}}}}</t>
  </si>
  <si>
    <t>2026-10-09T02:52:14.7785564Z</t>
  </si>
  <si>
    <t>{"category12":true}</t>
  </si>
  <si>
    <t>8584100926107897344PF</t>
  </si>
  <si>
    <t>ADS- Setup</t>
  </si>
  <si>
    <t>2026-10-14T12:30:41.1890876Z</t>
  </si>
  <si>
    <t>pLnoVyTy-UKfHxF2NSHky2QAFwrH</t>
  </si>
  <si>
    <t>Prepare new assets for JP &amp; KR translation</t>
  </si>
  <si>
    <t>{"d8b70168-3e9f-451c-898e-9a1da643aafe":{"@odata.type":"#microsoft.graph.plannerAssignment","assignedDateTime":"2026-10-09T02:51:41.7951093Z","orderHint":"\"","assignedBy":{"user":{"displayName":null,"id":"d8b70168-3e9f-451c-898e-9a1da643aafe"},"application":{"displayName":null,"id":"75f31797-37c9-498e-8dc9-53c16a36afca"}}}}</t>
  </si>
  <si>
    <t>2026-10-09T02:51:41.7951691Z</t>
  </si>
  <si>
    <t>8584100926437255670P@</t>
  </si>
  <si>
    <t>2026-10-14T12:30:43.8836894Z</t>
  </si>
  <si>
    <t>MOFArwZE7kKgU49WeKVKnmQALrej</t>
  </si>
  <si>
    <t>Assist with JP data cleanup</t>
  </si>
  <si>
    <t>{"d8b70168-3e9f-451c-898e-9a1da643aafe":{"@odata.type":"#microsoft.graph.plannerAssignment","assignedDateTime":"2026-10-09T02:50:59.1284661Z","orderHint":"\"","assignedBy":{"user":{"displayName":null,"id":"d8b70168-3e9f-451c-898e-9a1da643aafe"},"application":{"displayName":null,"id":"75f31797-37c9-498e-8dc9-53c16a36afca"}}}}</t>
  </si>
  <si>
    <t>2026-10-09T02:50:59.1285236Z</t>
  </si>
  <si>
    <t>{"category10":true}</t>
  </si>
  <si>
    <t>8584100926865035925P0</t>
  </si>
  <si>
    <t>Hubspot</t>
  </si>
  <si>
    <t>2026-10-14T12:30:46.8683089Z</t>
  </si>
  <si>
    <t>ClotRw8fYkmqkPmLV8QW8WQAOm2j</t>
  </si>
  <si>
    <t>Ads setup for ID including new forms</t>
  </si>
  <si>
    <t>{"d8b70168-3e9f-451c-898e-9a1da643aafe":{"@odata.type":"#microsoft.graph.plannerAssignment","assignedDateTime":"2026-10-09T02:47:37.3655874Z","orderHint":"\"","assignedBy":{"user":{"displayName":null,"id":"d8b70168-3e9f-451c-898e-9a1da643aafe"},"application":{"displayName":null,"id":"75f31797-37c9-498e-8dc9-53c16a36afca"}}}}</t>
  </si>
  <si>
    <t>2026-10-09T02:47:37.3656375Z</t>
  </si>
  <si>
    <t>8584100928881490685P8</t>
  </si>
  <si>
    <t>2026-10-14T12:30:49.2760627Z</t>
  </si>
  <si>
    <t>EaEojZnfCkaUxX7WPDt-dWQAF876</t>
  </si>
  <si>
    <t>Ads setup for SG including new forms</t>
  </si>
  <si>
    <t>{"d8b70168-3e9f-451c-898e-9a1da643aafe":{"@odata.type":"#microsoft.graph.plannerAssignment","assignedDateTime":"2026-10-09T02:47:23.2366081Z","orderHint":"\"","assignedBy":{"user":{"displayName":null,"id":"d8b70168-3e9f-451c-898e-9a1da643aafe"},"application":{"displayName":null,"id":"75f31797-37c9-498e-8dc9-53c16a36afca"}}}}</t>
  </si>
  <si>
    <t>2026-10-09T02:47:23.2366644Z</t>
  </si>
  <si>
    <t>8584100929022780743P1</t>
  </si>
  <si>
    <t>2026-10-14T12:30:51.7547498Z</t>
  </si>
  <si>
    <t>o7V32ZN38UqAt4wcI0W5lWQACoFI</t>
  </si>
  <si>
    <t>Ads setup for KR including the form</t>
  </si>
  <si>
    <t>{"d8b70168-3e9f-451c-898e-9a1da643aafe":{"@odata.type":"#microsoft.graph.plannerAssignment","assignedDateTime":"2026-10-09T02:47:05.6468846Z","orderHint":"\"","assignedBy":{"user":{"displayName":null,"id":"d8b70168-3e9f-451c-898e-9a1da643aafe"},"application":{"displayName":null,"id":"75f31797-37c9-498e-8dc9-53c16a36afca"}}}}</t>
  </si>
  <si>
    <t>2026-10-09T02:47:05.6469342Z</t>
  </si>
  <si>
    <t>8584100929198708177P7</t>
  </si>
  <si>
    <t>2026-10-14T12:30:57.9800242Z</t>
  </si>
  <si>
    <t>SIs9dBetBES9kMdCGI7N9GQAMOFv</t>
  </si>
  <si>
    <t>Ad setup for JP including the form</t>
  </si>
  <si>
    <t>{"d8b70168-3e9f-451c-898e-9a1da643aafe":{"@odata.type":"#microsoft.graph.plannerAssignment","assignedDateTime":"2026-10-09T02:46:53.7804551Z","orderHint":"\"","assignedBy":{"user":{"displayName":null,"id":"d8b70168-3e9f-451c-898e-9a1da643aafe"},"application":{"displayName":null,"id":"75f31797-37c9-498e-8dc9-53c16a36afca"}}}}</t>
  </si>
  <si>
    <t>2026-10-09T02:46:53.7805113Z</t>
  </si>
  <si>
    <t>8584100929317369770P$</t>
  </si>
  <si>
    <t>2026-10-14T12:31:01.7499572Z</t>
  </si>
  <si>
    <t>-c3HJoSuAkCRbyM7OJBEgGQAEXGe</t>
  </si>
  <si>
    <t>DataforSEO</t>
  </si>
  <si>
    <t>{"129b8133-2f40-46f4-8391-49fec10f3174":{"@odata.type":"#microsoft.graph.plannerAssignment","assignedDateTime":"2026-10-08T13:30:42.4441661Z","orderHint":"\"","assignedBy":{"user":{"displayName":null,"id":"129b8133-2f40-46f4-8391-49fec10f3174"},"application":{"displayName":null,"id":"75f31797-37c9-498e-8dc9-53c16a36afca"}}}}</t>
  </si>
  <si>
    <t>2026-10-08T13:30:42.4442211Z</t>
  </si>
  <si>
    <t>{"category8":true,"category23":true}</t>
  </si>
  <si>
    <t>NOTE: Evaluating DataforSEO's SERP API for the monthly share-of-search tracker (10 keywords x 7 APAC markets). The Sep deck already blends DataforSEO + Semrush data — this task decides adopt, supplement, or drop. Related vault note: BrandCom/Share of search (apples-to-apples).</t>
  </si>
  <si>
    <t>[{"id":"e07d8a4b79fc4730a28ae6a114f59431","value":{"@odata.type":"#microsoft.graph.plannerChecklistItem","isChecked":false,"title":"Compare DataforSEO SERP API coverage and pricing vs Semrush","orderHint":"8584100872Y*","lastModifiedDateTime":"2026-10-09T04:20:44.9825649Z","lastModifiedBy":{"user":{"displayName":null,"id":"129b8133-2f40-46f4-8391-49fec10f3174"}}}},{"id":"092228442f9443cdbde3eff2abc0f617","value":{"@odata.type":"#microsoft.graph.plannerChecklistItem","isChecked":false,"title":"Validate data quality against the current Semrush-based tables","orderHint":"8584100872&lt;%","lastModifiedDateTime":"2026-10-09T04:20:55.0264371Z","lastModifiedBy":{"user":{"displayName":null,"id":"129b8133-2f40-46f4-8391-49fec10f3174"}}}},{"id":"bbbd755d98cb4e508786bd54a9716418","value":{"@odata.type":"#microsoft.graph.plannerChecklistItem","isChecked":false,"title":"Run a test pull for the 10 APAC keywords across 7 markets","orderHint":"8584100872F2","lastModifiedDateTime":"2026-10-09T04:20:51.335411Z","lastModifiedBy":{"user":{"displayName":null,"id":"129b8133-2f40-46f4-8391-49fec10f3174"}}}},{"id":"61cc884e5cc944b7bbaa45e50e2fc6f8","value":{"@odata.type":"#microsoft.graph.plannerChecklistItem","isChecked":false,"title":"Decide: adopt, supplement, or drop DataforSEO","orderHint":"85841008727?","lastModifiedDateTime":"2026-10-09T04:20:59.5154524Z","lastModifiedBy":{"user":{"displayName":null,"id":"129b8133-2f40-46f4-8391-49fec10f3174"}}}},{"id":"0c289022885642ff92043e6872a5bb47","value":{"@odata.type":"#microsoft.graph.plannerChecklistItem","isChecked":false,"title":"Document the API setup and query templates for the team","orderHint":"85841008724*","lastModifiedDateTime":"2026-10-09T04:21:03.4559236Z","lastModifiedBy":{"user":{"displayName":null,"id":"129b8133-2f40-46f4-8391-49fec10f3174"}}}},{"id":"9a5d6ba294544d2da181d290c8a7770b","value":{"@odata.type":"#microsoft.graph.plannerChecklistItem","isChecked":true,"title":"Define the data need — keywords, markets, metrics for share-of-search","orderHint":"8584100873364511105P*","lastModifiedDateTime":"2026-10-09T04:49:25.0457817Z","lastModifiedBy":{"user":{"displayName":null,"id":"129b8133-2f40-46f4-8391-49fec10f3174"}}}}]</t>
  </si>
  <si>
    <t>8584101407031126676PM</t>
  </si>
  <si>
    <t>SEO, * Project</t>
  </si>
  <si>
    <t>2026-10-14T12:31:04.8224547Z</t>
  </si>
  <si>
    <t>n_Q762Pp0kqZTEEvn66eDWQACiVW</t>
  </si>
  <si>
    <t>Migrate lead-maxxing to Azure</t>
  </si>
  <si>
    <t>{"129b8133-2f40-46f4-8391-49fec10f3174":{"@odata.type":"#microsoft.graph.plannerAssignment","assignedDateTime":"2026-10-08T13:24:40.3139197Z","orderHint":"\"","assignedBy":{"user":{"displayName":null,"id":"129b8133-2f40-46f4-8391-49fec10f3174"},"application":{"displayName":null,"id":"75f31797-37c9-498e-8dc9-53c16a36afca"}}}}</t>
  </si>
  <si>
    <t>2026-10-08T13:24:40.3139711Z</t>
  </si>
  <si>
    <t>2026-10-21T10:00:00Z</t>
  </si>
  <si>
    <t>{"category22":true}</t>
  </si>
  <si>
    <t>NOTE: Moving the B2B lead-maxxing (lead enrichment hub) infrastructure to Azure — app, database, pipelines, plus the HubSpot/Salesforce integrations. Must run parallel testing before cutover.</t>
  </si>
  <si>
    <t>[{"id":"b69a630a8c5d4398a055eff9139bf607","value":{"@odata.type":"#microsoft.graph.plannerChecklistItem","isChecked":false,"title":"Run parallel testing — old vs new outputs match","orderHint":"8584100871J=","lastModifiedDateTime":"2026-10-09T04:21:32.168105Z","lastModifiedBy":{"user":{"displayName":null,"id":"129b8133-2f40-46f4-8391-49fec10f3174"}}}},{"id":"e2d7f25fc9fa4eaeaa949c6c1ce1222f","value":{"@odata.type":"#microsoft.graph.plannerChecklistItem","isChecked":false,"title":"Provision the Azure resources (app, database, storage)","orderHint":"85841008723K","lastModifiedDateTime":"2026-10-09T04:21:20.4958071Z","lastModifiedBy":{"user":{"displayName":null,"id":"129b8133-2f40-46f4-8391-49fec10f3174"}}}},{"id":"3826080eebac4460916fc599875310e0","value":{"@odata.type":"#microsoft.graph.plannerChecklistItem","isChecked":false,"title":"Reconnect HubSpot/Salesforce integrations on Azure","orderHint":"8584100871\\J","lastModifiedDateTime":"2026-10-09T04:21:28.2785065Z","lastModifiedBy":{"user":{"displayName":null,"id":"129b8133-2f40-46f4-8391-49fec10f3174"}}}},{"id":"f108db41e8cb42b8822c809ab7fa7379","value":{"@odata.type":"#microsoft.graph.plannerChecklistItem","isChecked":false,"title":"Decommission the old environment","orderHint":"8584100871&lt;L","lastModifiedDateTime":"2026-10-09T04:21:40.2110039Z","lastModifiedBy":{"user":{"displayName":null,"id":"129b8133-2f40-46f4-8391-49fec10f3174"}}}},{"id":"cbb927ccb8e3431789631f64a744b17d","value":{"@odata.type":"#microsoft.graph.plannerChecklistItem","isChecked":true,"title":"Initial context gathered from vault and team chats","orderHint":"858410085ZD","lastModifiedDateTime":"2026-10-09T04:49:47.5048476Z","lastModifiedBy":{"user":{"displayName":null,"id":"129b8133-2f40-46f4-8391-49fec10f3174"}}}},{"id":"c0c984237b614301b0b286ba9c195c50","value":{"@odata.type":"#microsoft.graph.plannerChecklistItem","isChecked":true,"title":"Task scoped and added to Planner","orderHint":"858410086N","lastModifiedDateTime":"2026-10-09T04:49:40.0724884Z","lastModifiedBy":{"user":{"displayName":null,"id":"129b8133-2f40-46f4-8391-49fec10f3174"}}}},{"id":"c1bb6b6a73e14e2fadab8028ac5d5d48","value":{"@odata.type":"#microsoft.graph.plannerChecklistItem","isChecked":false,"title":"Cut over traffic and monitor for 48 hours","orderHint":"8584100871AA","lastModifiedDateTime":"2026-10-09T04:21:36.0783803Z","lastModifiedBy":{"user":{"displayName":null,"id":"129b8133-2f40-46f4-8391-49fec10f3174"}}}},{"id":"c850690dd59841fa9831dc0738e49d72","value":{"@odata.type":"#microsoft.graph.plannerChecklistItem","isChecked":false,"title":"Audit the current lead-maxxing setup — infra, data flows, dependencies","orderHint":"8584100872687329783PA","lastModifiedDateTime":"2026-10-09T04:21:16.7645584Z","lastModifiedBy":{"user":{"displayName":null,"id":"129b8133-2f40-46f4-8391-49fec10f3174"}}}},{"id":"82d9ff4765bb4b368fc193c3e631ee02","value":{"@odata.type":"#microsoft.graph.plannerChecklistItem","isChecked":false,"title":"Migrate the lead database and enrichment pipelines","orderHint":"85841008721:","lastModifiedDateTime":"2026-10-09T04:21:24.1191504Z","lastModifiedBy":{"user":{"displayName":null,"id":"129b8133-2f40-46f4-8391-49fec10f3174"}}}}]</t>
  </si>
  <si>
    <t>8584101410652060818PK</t>
  </si>
  <si>
    <t>Ai</t>
  </si>
  <si>
    <t>2026-10-14T12:31:07.5213322Z</t>
  </si>
  <si>
    <t>Bzl3nPAinEeLZJ2r_afpEmQACBVw</t>
  </si>
  <si>
    <t>Schedule post for the week</t>
  </si>
  <si>
    <t>{"d8b70168-3e9f-451c-898e-9a1da643aafe":{"@odata.type":"#microsoft.graph.plannerAssignment","assignedDateTime":"2026-10-08T06:11:54.2539772Z","orderHint":"\"","assignedBy":{"user":{"displayName":null,"id":"d8b70168-3e9f-451c-898e-9a1da643aafe"},"application":{"displayName":null,"id":"75f31797-37c9-498e-8dc9-53c16a36afca"}}}}</t>
  </si>
  <si>
    <t>2026-10-08T06:11:54.254029Z</t>
  </si>
  <si>
    <t>{"category4":true}</t>
  </si>
  <si>
    <t>8584101670312816063P,</t>
  </si>
  <si>
    <t>SM-Post</t>
  </si>
  <si>
    <t>2026-10-14T12:31:10.3774956Z</t>
  </si>
  <si>
    <t>qhPT9Xxq-0mecuLvgcP80GQAFPOa</t>
  </si>
  <si>
    <t>Open AI events creation on more detailed tracking</t>
  </si>
  <si>
    <t>{"d8b70168-3e9f-451c-898e-9a1da643aafe":{"@odata.type":"#microsoft.graph.plannerAssignment","assignedDateTime":"2026-10-08T02:17:10.4504396Z","orderHint":"\"","assignedBy":{"user":{"displayName":null,"id":"d8b70168-3e9f-451c-898e-9a1da643aafe"},"application":{"displayName":null,"id":"75f31797-37c9-498e-8dc9-53c16a36afca"}}}}</t>
  </si>
  <si>
    <t>2026-10-08T02:17:10.4505239Z</t>
  </si>
  <si>
    <t>{"category11":true,"category25":true}</t>
  </si>
  <si>
    <t>8584101811150927712PJ</t>
  </si>
  <si>
    <t>ADS- Planning, Open AI</t>
  </si>
  <si>
    <t>2026-10-14T12:31:12.9870846Z</t>
  </si>
  <si>
    <t>b4aSSkfslUWIXEmfIwKaJGQADExe</t>
  </si>
  <si>
    <t>Creating a thank you page for all lead forms for tracking purpose on each platform</t>
  </si>
  <si>
    <t>{"d8b70168-3e9f-451c-898e-9a1da643aafe":{"@odata.type":"#microsoft.graph.plannerAssignment","assignedDateTime":"2026-10-08T02:16:54.475172Z","orderHint":"\"","assignedBy":{"user":{"displayName":null,"id":"d8b70168-3e9f-451c-898e-9a1da643aafe"},"application":{"displayName":null,"id":"75f31797-37c9-498e-8dc9-53c16a36afca"}}}}</t>
  </si>
  <si>
    <t>2026-10-08T02:16:54.4752265Z</t>
  </si>
  <si>
    <t>{"category1":true,"category11":true}</t>
  </si>
  <si>
    <t>8584101811310432979PL</t>
  </si>
  <si>
    <t>Web-dotcom, ADS- Planning</t>
  </si>
  <si>
    <t>2026-10-14T12:31:15.5246887Z</t>
  </si>
  <si>
    <t>vrDE2BWIMUSU_s6QsxQKrGQAHPPp</t>
  </si>
  <si>
    <t>Open Ai Pixel tracking for forms</t>
  </si>
  <si>
    <t>{"d8b70168-3e9f-451c-898e-9a1da643aafe":{"@odata.type":"#microsoft.graph.plannerAssignment","assignedDateTime":"2026-10-08T02:16:33.7545314Z","orderHint":"\"","assignedBy":{"user":{"displayName":null,"id":"d8b70168-3e9f-451c-898e-9a1da643aafe"},"application":{"displayName":null,"id":"75f31797-37c9-498e-8dc9-53c16a36afca"}}}}</t>
  </si>
  <si>
    <t>2026-10-08T02:16:33.7546001Z</t>
  </si>
  <si>
    <t>8584101811517615722PL</t>
  </si>
  <si>
    <t>2026-10-14T12:31:17.7197300Z</t>
  </si>
  <si>
    <t>sRwBGXos00e2k4zBigGIAWQAPUmg</t>
  </si>
  <si>
    <t>AP Newsletter - Impact Report</t>
  </si>
  <si>
    <t>{"b0dde2c9-92a4-4d86-a4fd-2a130944956f":{"@odata.type":"#microsoft.graph.plannerAssignment","assignedDateTime":"2026-10-08T01:46:21.9412239Z","orderHint":"\"","assignedBy":{"user":{"displayName":null,"id":"b0dde2c9-92a4-4d86-a4fd-2a130944956f"},"application":{"displayName":null,"id":"75f31797-37c9-498e-8dc9-53c16a36afca"}}}}</t>
  </si>
  <si>
    <t>2026-10-08T01:45:36.4446608Z</t>
  </si>
  <si>
    <t>b0dde2c9-92a4-4d86-a4fd-2a130944956f</t>
  </si>
  <si>
    <t>{"category7":true}</t>
  </si>
  <si>
    <t>[https://steelcase-my.sharepoint.com/:w:/p/joey_lee/IQA663GO5M2bQIlMyAu6uNYWAeq4wtYKNKQDfsjtgeqhJr8?email=AABDULTA%40steelcase.com&amp;wdExp=TEAMS-TREATMENT&amp;web=1&amp;isSPOFile=1&amp;ovuser=b9970fd2-103f-4833-8789-6880e475809d%2Caabdulta%40steelcase.com&amp;clickparams=eyJBcHBOYW1lIjoiVGVhbXMtRGVza3RvcCIsIkFwcFZlcnNpb24iOiI1MC8yNjA5MDMxNTgyMCIsIkhhc0ZlZGVyYXRlZFVzZXIiOmZhbHNlfQ%3D%3D](https://steelcase-my.sharepoint.com/:w:/p/joey_lee/IQA663GO5M2bQIlMyAu6uNYWAeq4wtYKNKQDfsjtgeqhJr8?email=AABDULTA%40steelcase.com&amp;amp;wdExp=TEAMS-TREATMENT&amp;amp;web=1&amp;amp;isSPOFile=1&amp;amp;ovuser=b9970fd2-103f-4833-8789-6880e475809d%2Caabdulta%40steelcase.com&amp;amp;clickparams=eyJBcHBOYW1lIjoiVGVhbXMtRGVza3RvcCIsIkFwcFZlcnNpb24iOiI1MC8yNjA5MDMxNTgyMCIsIkhhc0ZlZGVyYXRlZFVzZXIiOmZhbHNlfQ%3D%3D)</t>
  </si>
  <si>
    <t>8584101830090767455P(</t>
  </si>
  <si>
    <t>Email-APAC News</t>
  </si>
  <si>
    <t>2026-10-14T12:31:20.3693323Z</t>
  </si>
  <si>
    <t>panY5gjBbEm7WcJFrDSTuWQAIjze</t>
  </si>
  <si>
    <t>Look into audience for LinkedIn based on the GCC file shared</t>
  </si>
  <si>
    <t>{"d8b70168-3e9f-451c-898e-9a1da643aafe":{"@odata.type":"#microsoft.graph.plannerAssignment","assignedDateTime":"2026-10-07T02:54:01.5391153Z","orderHint":"\"","assignedBy":{"user":{"displayName":null,"id":"d8b70168-3e9f-451c-898e-9a1da643aafe"},"application":{"displayName":null,"id":"75f31797-37c9-498e-8dc9-53c16a36afca"}}}}</t>
  </si>
  <si>
    <t>2026-10-07T02:54:01.5391739Z</t>
  </si>
  <si>
    <t>8584102653039805165PN</t>
  </si>
  <si>
    <t>2026-10-14T12:31:23.1447505Z</t>
  </si>
  <si>
    <t>lwfxeYVKRkyr1PoDBym412QAKf8F</t>
  </si>
  <si>
    <t>Women of Steel Playlist - Unlisted</t>
  </si>
  <si>
    <t>{"d8b70168-3e9f-451c-898e-9a1da643aafe":{"@odata.type":"#microsoft.graph.plannerAssignment","assignedDateTime":"2026-10-07T02:13:44.7391879Z","orderHint":"\"","assignedBy":{"user":{"displayName":null,"id":"d8b70168-3e9f-451c-898e-9a1da643aafe"},"application":{"displayName":null,"id":"75f31797-37c9-498e-8dc9-53c16a36afca"}}}}</t>
  </si>
  <si>
    <t>2026-10-07T02:13:44.7392456Z</t>
  </si>
  <si>
    <t>8584102677207842506P:</t>
  </si>
  <si>
    <t>2026-10-14T12:31:25.6238176Z</t>
  </si>
  <si>
    <t>ZboAyoQAMU2jV6BcqPG12WQAMr-U</t>
  </si>
  <si>
    <t>WorkTech Singapore Social post</t>
  </si>
  <si>
    <t>{"d8b70168-3e9f-451c-898e-9a1da643aafe":{"@odata.type":"#microsoft.graph.plannerAssignment","assignedDateTime":"2026-10-06T03:11:43.9499892Z","orderHint":"\"","assignedBy":{"user":{"displayName":null,"id":"d8b70168-3e9f-451c-898e-9a1da643aafe"},"application":{"displayName":null,"id":"75f31797-37c9-498e-8dc9-53c16a36afca"}}}}</t>
  </si>
  <si>
    <t>2026-10-06T03:11:43.950044Z</t>
  </si>
  <si>
    <t>[{"resourceLink":"https://steelcase.sharepoint.com/sites/BrandcomDigitalTeamTaskRequest/Shared%20Documents/ss.jpg","value":{"@odata.type":"#microsoft.graph.plannerExternalReference","alias":"ss.jpg","type":"Other","previewPriority":"8584103504ZJ","lastModifiedDateTime":"2026-10-06T03:13:45.786095Z","lastModifiedBy":{"user":{"displayName":null,"id":"d8b70168-3e9f-451c-898e-9a1da643aafe"}}}}]</t>
  </si>
  <si>
    <t>8584103506416161534PI</t>
  </si>
  <si>
    <t>2026-10-14T12:31:28.2680742Z</t>
  </si>
  <si>
    <t>eidBTD4wx0ef5Ew2aIMe1WQAITot</t>
  </si>
  <si>
    <t>Add a banner - all WL pages</t>
  </si>
  <si>
    <t>{"b0dde2c9-92a4-4d86-a4fd-2a130944956f":{"@odata.type":"#microsoft.graph.plannerAssignment","assignedDateTime":"2026-10-05T07:18:00.7791066Z","orderHint":"\"","assignedBy":{"user":{"displayName":null,"id":"b0dde2c9-92a4-4d86-a4fd-2a130944956f"},"application":{"displayName":null,"id":"75f31797-37c9-498e-8dc9-53c16a36afca"}}}}</t>
  </si>
  <si>
    <t>2026-10-05T07:18:00.7791739Z</t>
  </si>
  <si>
    <t>2026-10-16T10:00:00Z</t>
  </si>
  <si>
    <t>[{"resourceLink":"https://steelcase.sharepoint.com/sites/BrandcomDigitalTeamTaskRequest/Shared%20Documents/1.png","value":{"@odata.type":"#microsoft.graph.plannerExternalReference","alias":"1.png","type":"Other","previewPriority":"8584104221576503676P@","lastModifiedDateTime":"2026-10-05T07:19:47.8621433Z","lastModifiedBy":{"user":{"displayName":null,"id":"b0dde2c9-92a4-4d86-a4fd-2a130944956f"}}}}]</t>
  </si>
  <si>
    <t>8584104222649895193P.</t>
  </si>
  <si>
    <t>2026-10-14T12:31:30.8647391Z</t>
  </si>
  <si>
    <t>ta48yj6nekClG4KtBy5UUWQAIwoT</t>
  </si>
  <si>
    <t>Planning Ideas - Widen</t>
  </si>
  <si>
    <t>{"b0dde2c9-92a4-4d86-a4fd-2a130944956f":{"@odata.type":"#microsoft.graph.plannerAssignment","assignedDateTime":"2026-10-01T12:00:39.8045085Z","orderHint":"\"","assignedBy":{"user":{"displayName":null,"id":"b0dde2c9-92a4-4d86-a4fd-2a130944956f"},"application":{"displayName":null,"id":"75f31797-37c9-498e-8dc9-53c16a36afca"}}}}</t>
  </si>
  <si>
    <t>2026-10-01T12:00:39.8045617Z</t>
  </si>
  <si>
    <t>{"category3":true}</t>
  </si>
  <si>
    <t>8584107509057119924PK</t>
  </si>
  <si>
    <t>Web-Widen</t>
  </si>
  <si>
    <t>2026-10-14T12:31:33.8711401Z</t>
  </si>
  <si>
    <t>0zCmt3_wEUeajg_HWjEu9mQAFNZP</t>
  </si>
  <si>
    <t>To check Hubspot segmentation on users - Digital call</t>
  </si>
  <si>
    <t>{"d8b70168-3e9f-451c-898e-9a1da643aafe":{"@odata.type":"#microsoft.graph.plannerAssignment","assignedDateTime":"2026-09-30T07:22:47.3278722Z","orderHint":"\"","assignedBy":{"user":{"displayName":null,"id":"d8b70168-3e9f-451c-898e-9a1da643aafe"},"application":{"displayName":null,"id":"75f31797-37c9-498e-8dc9-53c16a36afca"}}}}</t>
  </si>
  <si>
    <t>2026-09-30T07:22:47.3279201Z</t>
  </si>
  <si>
    <t>8584108539781878050P&lt;</t>
  </si>
  <si>
    <t>2026-10-14T12:31:36.7780481Z</t>
  </si>
  <si>
    <t>0Di9eFqpfkG1GDPeIxzdl2QABbGp</t>
  </si>
  <si>
    <t>Creating webpages for Work Better 7 articles</t>
  </si>
  <si>
    <t>{"b0dde2c9-92a4-4d86-a4fd-2a130944956f":{"@odata.type":"#microsoft.graph.plannerAssignment","assignedDateTime":"2026-09-30T03:30:44.9858742Z","orderHint":"\"","assignedBy":{"user":{"displayName":null,"id":"b0dde2c9-92a4-4d86-a4fd-2a130944956f"},"application":{"displayName":null,"id":"75f31797-37c9-498e-8dc9-53c16a36afca"}}}}</t>
  </si>
  <si>
    <t>2026-09-30T03:30:44.9859208Z</t>
  </si>
  <si>
    <t>[https://steelcase.sharepoint.com/:f:/r/sites/ONEMARKETINGAPAC/Shared%20Documents/OneMarketing%20Folder/Brand%20Comms/B.%20Projects/Work%20Better/WB%20Spring%202026%20(WB7%20A%20New%20Mindset)/Translation?csf=1&amp;web=1&amp;e=668MHy](https://steelcase.sharepoint.com/:f:/r/sites/ONEMARKETINGAPAC/Shared%20Documents/OneMarketing%20Folder/Brand%20Comms/B.%20Projects/Work%20Better/WB%20Spring%202026%20%28WB7%20A%20New%20Mindset%29/Translation?csf=1&amp;amp;web=1&amp;amp;e=668MHy)</t>
  </si>
  <si>
    <t>[{"resourceLink":"https://steelcase.sharepoint.com/sites/BrandcomDigitalTeamTaskRequest/_layouts/15/Doc.aspx?sourcedoc=%7B8E757982-BEA4-4F7C-9545-E4C67FDB4FE5%7D&amp;file=Work%20Better%207%20-%20Articles%20Extraction.xlsx&amp;action=default&amp;mobileredirect=true","value":{"@odata.type":"#microsoft.graph.plannerExternalReference","alias":"Work Better 7 - Articles Extraction.xlsx","type":"Excel","previewPriority":"8584108678569325348P+","lastModifiedDateTime":"2026-09-30T03:31:28.5715201Z","lastModifiedBy":{"user":{"displayName":null,"id":"b0dde2c9-92a4-4d86-a4fd-2a130944956f"}}}}]</t>
  </si>
  <si>
    <t>8584108679005296951P9</t>
  </si>
  <si>
    <t>2026-10-14T12:31:39.0887248Z</t>
  </si>
  <si>
    <t>Af4lfuRuSkqJ9O-gfRgBHWQAPEPT</t>
  </si>
  <si>
    <t>Migration SE Collection webpage in Japanese</t>
  </si>
  <si>
    <t>{"b0dde2c9-92a4-4d86-a4fd-2a130944956f":{"@odata.type":"#microsoft.graph.plannerAssignment","assignedDateTime":"2026-09-30T03:28:55.2129923Z","orderHint":"\"","assignedBy":{"user":{"displayName":null,"id":"b0dde2c9-92a4-4d86-a4fd-2a130944956f"},"application":{"displayName":null,"id":"75f31797-37c9-498e-8dc9-53c16a36afca"}}}}</t>
  </si>
  <si>
    <t>2026-09-30T03:28:45.9902867Z</t>
  </si>
  <si>
    <t>2026-10-09T10:00:00Z</t>
  </si>
  <si>
    <t>[https://steelcase.sharepoint.com/:f:/r/sites/ONEMARKETINGAPAC/Shared%20Documents/OneMarketing%20Folder/Brand%20Comms/B.%20Projects/Migration%20SE%20Collection/Translations/JP?d=wc1b139dccfe744978f7591ea11a8b649&amp;csf=1&amp;web=1&amp;e=S9A9B7](https://steelcase.sharepoint.com/:f:/r/sites/ONEMARKETINGAPAC/Shared%20Documents/OneMarketing%20Folder/Brand%20Comms/B.%20Projects/Migration%20SE%20Collection/Translations/JP?d=wc1b139dccfe744978f7591ea11a8b649&amp;amp;csf=1&amp;amp;web=1&amp;amp;e=S9A9B7)</t>
  </si>
  <si>
    <t>8584108680195387782PH</t>
  </si>
  <si>
    <t>2026-10-14T12:31:41.6136001Z</t>
  </si>
  <si>
    <t>GLcy1eg2bE696YRhutkA32QANKbi</t>
  </si>
  <si>
    <t>Migration SE Collection webpage in Chinese</t>
  </si>
  <si>
    <t>{"b0dde2c9-92a4-4d86-a4fd-2a130944956f":{"@odata.type":"#microsoft.graph.plannerAssignment","assignedDateTime":"2026-09-30T03:27:43.4234896Z","orderHint":"\"","assignedBy":{"user":{"displayName":null,"id":"b0dde2c9-92a4-4d86-a4fd-2a130944956f"},"application":{"displayName":null,"id":"75f31797-37c9-498e-8dc9-53c16a36afca"}}}}</t>
  </si>
  <si>
    <t>2026-09-30T03:27:37.3381237Z</t>
  </si>
  <si>
    <t>[https://steelcase.sharepoint.com/:f:/r/sites/ONEMARKETINGAPAC/Shared%20Documents/OneMarketing%20Folder/Brand%20Comms/B.%20Projects/Migration%20SE%20Collection/Translations/CN?d=wf206f8f1d6aa4affb5c004c9a08f5ba1&amp;csf=1&amp;web=1&amp;e=Jflwbg](https://steelcase.sharepoint.com/:f:/r/sites/ONEMARKETINGAPAC/Shared%20Documents/OneMarketing%20Folder/Brand%20Comms/B.%20Projects/Migration%20SE%20Collection/Translations/CN?d=wf206f8f1d6aa4affb5c004c9a08f5ba1&amp;amp;csf=1&amp;amp;web=1&amp;amp;e=Jflwbg)</t>
  </si>
  <si>
    <t>8584108680882325673PM</t>
  </si>
  <si>
    <t>2026-10-14T12:31:44.4077150Z</t>
  </si>
  <si>
    <t>IvDVqKsoXkCEQ48JG8edCWQAMSvo</t>
  </si>
  <si>
    <t>HPS external page</t>
  </si>
  <si>
    <t>{"b0dde2c9-92a4-4d86-a4fd-2a130944956f":{"@odata.type":"#microsoft.graph.plannerAssignment","assignedDateTime":"2026-09-30T03:22:20.8909643Z","orderHint":"\"","assignedBy":{"user":{"displayName":null,"id":"b0dde2c9-92a4-4d86-a4fd-2a130944956f"},"application":{"displayName":null,"id":"75f31797-37c9-498e-8dc9-53c16a36afca"}}}}</t>
  </si>
  <si>
    <t>2026-09-30T03:22:20.8910212Z</t>
  </si>
  <si>
    <t>https://www.steelcase.com/high-performance-seating/</t>
  </si>
  <si>
    <t>8584108684047522812P5</t>
  </si>
  <si>
    <t>2026-10-14T12:31:46.6758130Z</t>
  </si>
  <si>
    <t>ovv8TGpKtEifKB57xgF6tGQAOkJf</t>
  </si>
  <si>
    <t>Hubspot Segmentation - Japan</t>
  </si>
  <si>
    <t>{"b0dde2c9-92a4-4d86-a4fd-2a130944956f":{"@odata.type":"#microsoft.graph.plannerAssignment","assignedDateTime":"2026-09-29T08:37:21.8794304Z","orderHint":"\"","assignedBy":{"user":{"displayName":null,"id":"b0dde2c9-92a4-4d86-a4fd-2a130944956f"},"application":{"displayName":null,"id":"75f31797-37c9-498e-8dc9-53c16a36afca"}}}}</t>
  </si>
  <si>
    <t>2026-09-29T08:37:17.0657289Z</t>
  </si>
  <si>
    <t>2026-09-29T10:00:00Z</t>
  </si>
  <si>
    <t>8584109359084977527P2</t>
  </si>
  <si>
    <t>2026-10-14T12:31:49.9917731Z</t>
  </si>
  <si>
    <t>XdMTSMZ3-0qaTii7SWE_CmQAIdG2</t>
  </si>
  <si>
    <t>ABM Targeting</t>
  </si>
  <si>
    <t>{"129b8133-2f40-46f4-8391-49fec10f3174":{"@odata.type":"#microsoft.graph.plannerAssignment","assignedDateTime":"2026-10-08T13:03:01.246682Z","orderHint":"\"","assignedBy":{"user":{"displayName":null,"id":"129b8133-2f40-46f4-8391-49fec10f3174"},"application":{"displayName":null,"id":"75f31797-37c9-498e-8dc9-53c16a36afca"}}}}</t>
  </si>
  <si>
    <t>2026-09-29T06:44:56.7843072Z</t>
  </si>
  <si>
    <t>{"category21":true,"category23":true}</t>
  </si>
  <si>
    <t>NOTE: Building the ABM target list from the 35 APAC priority accounts (shared with Chia May Yee 10/2) layered with Michelle's GCC/SAM list. Files: FY26 Top 35 - GCC.xlsx (SharePoint: OrderLeadTimeAgility &gt; OLTA) and FY26 Master GCC Client List.xlsx (SRNProposalTeam &gt; General). Feeds Gus Wick's tracking one-pager and the LinkedIn Top Companies audience.</t>
  </si>
  <si>
    <t>[{"id":"26d736c3fd5b4b2d9ff8d0b87444e1d1","value":{"@odata.type":"#microsoft.graph.plannerChecklistItem","isChecked":false,"title":"Lock the final ABM target list for the media plan","orderHint":"858410087166","lastModifiedDateTime":"2026-10-09T04:22:22.7507964Z","lastModifiedBy":{"user":{"displayName":null,"id":"129b8133-2f40-46f4-8391-49fec10f3174"}}}},{"id":"fc50afae2c824e6d890fc8e7bdb7a6fc","value":{"@odata.type":"#microsoft.graph.plannerChecklistItem","isChecked":true,"title":"Define tiering criteria (Tier 1/2/3) for targeting intensity","orderHint":"8584100871GJ","lastModifiedDateTime":"2026-10-12T00:52:30.1246544Z","lastModifiedBy":{"user":{"displayName":null,"id":"129b8133-2f40-46f4-8391-49fec10f3174"}}}},{"id":"f6b479830461401d9ec2aef14e725c06","value":{"@odata.type":"#microsoft.graph.plannerChecklistItem","isChecked":true,"title":"Pull the 35 APAC priority accounts with Chia May Yee","orderHint":"8584100872278331186P-","lastModifiedDateTime":"2026-10-09T04:33:22.1901748Z","lastModifiedBy":{"user":{"displayName":null,"id":"129b8133-2f40-46f4-8391-49fec10f3174"}}}},{"id":"064e00fc42e54ba2a8e38840ac058a79","value":{"@odata.type":"#microsoft.graph.plannerChecklistItem","isChecked":true,"title":"Layer in the GCC and SAM account list from Michelle","orderHint":"8584100871Z/","lastModifiedDateTime":"2026-10-12T00:52:28.9455031Z","lastModifiedBy":{"user":{"displayName":null,"id":"129b8133-2f40-46f4-8391-49fec10f3174"}}}},{"id":"702775ff6aa94eb2b8ad7bb4704aaa2e","value":{"@odata.type":"#microsoft.graph.plannerChecklistItem","isChecked":false,"title":"Align the account list with Sales (Japan/Korea/India leads)","orderHint":"85841008719I","lastModifiedDateTime":"2026-10-09T04:22:18.5960081Z","lastModifiedBy":{"user":{"displayName":null,"id":"129b8133-2f40-46f4-8391-49fec10f3174"}}}},{"id":"0b1e51d75519425e9e7af2fc529344b5","value":{"@odata.type":"#microsoft.graph.plannerChecklistItem","isChecked":true,"title":"Map accounts to the LinkedIn Top Companies audience","orderHint":"8584100871&gt;L","lastModifiedDateTime":"2026-10-09T04:33:55.2686462Z","lastModifiedBy":{"user":{"displayName":null,"id":"129b8133-2f40-46f4-8391-49fec10f3174"}}}}]</t>
  </si>
  <si>
    <t>8584109426487303270PN</t>
  </si>
  <si>
    <t>Leadgen, * Project</t>
  </si>
  <si>
    <t>2026-10-14T12:31:53.6308523Z</t>
  </si>
  <si>
    <t>NPv-ewMX5UOw_bUAhllGJmQAM7n8</t>
  </si>
  <si>
    <t>Gated LPs for consultation, downloads + tracking</t>
  </si>
  <si>
    <t>{"b0dde2c9-92a4-4d86-a4fd-2a130944956f":{"@odata.type":"#microsoft.graph.plannerAssignment","assignedDateTime":"2026-09-29T06:42:39.1644677Z","orderHint":"\"","assignedBy":{"user":{"displayName":null,"id":"b0dde2c9-92a4-4d86-a4fd-2a130944956f"},"application":{"displayName":null,"id":"75f31797-37c9-498e-8dc9-53c16a36afca"}}}}</t>
  </si>
  <si>
    <t>2026-09-29T06:42:39.1645232Z</t>
  </si>
  <si>
    <t>2026-10-13T10:00:00Z</t>
  </si>
  <si>
    <t>{"category5":true}</t>
  </si>
  <si>
    <t>Hi Adam, as discussed on Teams, we need a gated landing page for enquiries. This ties in with the offer of "Personalize customization" that we want our audience to eventually fill up. This is specifically for non-lead gen paid campaigns where we need a page to direct audiences to (i.e. eDMs - email nurture series, organic posts). It will also be used in the final email in our email nurture series._x000D_
Corrine has shared that there was an existing one in the past brand campaign that we can look to use/update: https://www.steelcase.com/asia-en/work-better-campaign/ but if you feel we just need a simpler LP instead of having all these information, feel free to suggest.</t>
  </si>
  <si>
    <t>8584109427863526779P?</t>
  </si>
  <si>
    <t>Email-EDM</t>
  </si>
  <si>
    <t>2026-10-14T12:31:57.2681595Z</t>
  </si>
  <si>
    <t>6Y4ER53BpU6JV-XbW9HTfmQAPQqq</t>
  </si>
  <si>
    <t>Creative Agency</t>
  </si>
  <si>
    <t>{"129b8133-2f40-46f4-8391-49fec10f3174":{"@odata.type":"#microsoft.graph.plannerAssignment","assignedDateTime":"2026-10-08T13:03:08.740805Z","orderHint":"\"","assignedBy":{"user":{"displayName":null,"id":"129b8133-2f40-46f4-8391-49fec10f3174"},"application":{"displayName":null,"id":"75f31797-37c9-498e-8dc9-53c16a36afca"}}}}</t>
  </si>
  <si>
    <t>2026-09-29T06:39:51.7671244Z</t>
  </si>
  <si>
    <t>NOTE: Scoping whether the team needs an external creative agency (campaigns, assets, markets) vs the current WSF setup. Needs Michelle's sign-off on the recommendation.</t>
  </si>
  <si>
    <t>[{"id":"b4d49e3614e1441b9a529d487d3c614e","value":{"@odata.type":"#microsoft.graph.plannerChecklistItem","isChecked":false,"title":"Shortlist agencies, brief them, collect proposals","orderHint":"85841008713M","lastModifiedDateTime":"2026-10-09T04:22:45.0883122Z","lastModifiedBy":{"user":{"displayName":null,"id":"129b8133-2f40-46f4-8391-49fec10f3174"}}}},{"id":"a6b58bda89ac4f6fa058d43d9f7f954e","value":{"@odata.type":"#microsoft.graph.plannerChecklistItem","isChecked":false,"title":"Evaluate on B2B portfolio, APAC chops, and pricing","orderHint":"858410087127","lastModifiedDateTime":"2026-10-09T04:22:48.9378323Z","lastModifiedBy":{"user":{"displayName":null,"id":"129b8133-2f40-46f4-8391-49fec10f3174"}}}},{"id":"39747a22abf84fed9cceb4d2414d7e71","value":{"@odata.type":"#microsoft.graph.plannerChecklistItem","isChecked":false,"title":"Recommend and get Michelle's sign-off","orderHint":"85841008711X:","lastModifiedDateTime":"2026-10-09T04:22:52.6383343Z","lastModifiedBy":{"user":{"displayName":null,"id":"129b8133-2f40-46f4-8391-49fec10f3174"}}}},{"id":"d9a5a1a68f074f3b940535401072fd37","value":{"@odata.type":"#microsoft.graph.plannerChecklistItem","isChecked":false,"title":"Assess the incumbent setup (WSF team) vs external need","orderHint":"858410087152","lastModifiedDateTime":"2026-10-09T04:22:41.0090508Z","lastModifiedBy":{"user":{"displayName":null,"id":"129b8133-2f40-46f4-8391-49fec10f3174"}}}},{"id":"bdeeed9b5c3c4813a629de538f2d9336","value":{"@odata.type":"#microsoft.graph.plannerChecklistItem","isChecked":true,"title":"Task scoped and added to Planner","orderHint":"858410086E","lastModifiedDateTime":"2026-10-09T04:50:43.0304639Z","lastModifiedBy":{"user":{"displayName":null,"id":"129b8133-2f40-46f4-8391-49fec10f3174"}}}},{"id":"0343a657e8ae43fca15736bffdcb8608","value":{"@odata.type":"#microsoft.graph.plannerChecklistItem","isChecked":false,"title":"Define the creative scope — campaigns, assets, markets needed","orderHint":"8584100871895639791P%","lastModifiedDateTime":"2026-10-09T04:22:35.9390415Z","lastModifiedBy":{"user":{"displayName":null,"id":"129b8133-2f40-46f4-8391-49fec10f3174"}}}}]</t>
  </si>
  <si>
    <t>8584109429537690343P=</t>
  </si>
  <si>
    <t>2026-10-14T12:32:00.4297545Z</t>
  </si>
  <si>
    <t>furFAgXsvUi5w6PD27OGsGQAFBnP</t>
  </si>
  <si>
    <t>launch new page after form filled in HS</t>
  </si>
  <si>
    <t>{"129b8133-2f40-46f4-8391-49fec10f3174":{"@odata.type":"#microsoft.graph.plannerAssignment","assignedDateTime":"2026-10-08T13:09:04.1091837Z","orderHint":"\"","assignedBy":{"user":{"displayName":null,"id":"129b8133-2f40-46f4-8391-49fec10f3174"},"application":{"displayName":null,"id":"75f31797-37c9-498e-8dc9-53c16a36afca"}}}}</t>
  </si>
  <si>
    <t>2026-09-28T04:11:53.5702771Z</t>
  </si>
  <si>
    <t>Decision: Thank you page is the best_x000D_
_x000D_
NOTE: Post-submit experience for HubSpot lead forms — thank-you page vs redirect, with tracking pixels. Critical: test that the Salesforce sync still fires correctly after the redirect is wired.</t>
  </si>
  <si>
    <t>[{"id":"be9a6df72aee420badf777e15057193a","value":{"@odata.type":"#microsoft.graph.plannerChecklistItem","isChecked":true,"title":"Define the post-submit experience — thank-you page vs redirect","orderHint":"8584100871622563634PB","lastModifiedDateTime":"2026-10-09T04:34:28.5928074Z","lastModifiedBy":{"user":{"displayName":null,"id":"129b8133-2f40-46f4-8391-49fec10f3174"}}}},{"id":"b26f851fce024b8ea6624295aa69f0e5","value":{"@odata.type":"#microsoft.graph.plannerChecklistItem","isChecked":false,"title":"Draft the page copy and CTA","orderHint":"8584100870\\,","lastModifiedDateTime":"2026-10-09T04:23:07.0285872Z","lastModifiedBy":{"user":{"displayName":null,"id":"129b8133-2f40-46f4-8391-49fec10f3174"}}}},{"id":"caaa31b72d09433a822b8aecbedd0289","value":{"@odata.type":"#microsoft.graph.plannerChecklistItem","isChecked":false,"title":"Build the page in HubSpot with tracking pixels","orderHint":"8584100870J+","lastModifiedDateTime":"2026-10-09T04:23:11.3012813Z","lastModifiedBy":{"user":{"displayName":null,"id":"129b8133-2f40-46f4-8391-49fec10f3174"}}}},{"id":"de0b5014ec9b48d9adc1aef20b5def5d","value":{"@odata.type":"#microsoft.graph.plannerChecklistItem","isChecked":false,"title":"Test the full flow — submit, redirect, Salesforce sync intact","orderHint":"8584100870&lt;B","lastModifiedDateTime":"2026-10-09T04:23:24.499444Z","lastModifiedBy":{"user":{"displayName":null,"id":"129b8133-2f40-46f4-8391-49fec10f3174"}}}},{"id":"10f8c592845d4b9494efaaf4ee037ec9","value":{"@odata.type":"#microsoft.graph.plannerChecklistItem","isChecked":false,"title":"Launch and monitor conversion","orderHint":"85841008709=","lastModifiedDateTime":"2026-10-09T04:23:28.843656Z","lastModifiedBy":{"user":{"displayName":null,"id":"129b8133-2f40-46f4-8391-49fec10f3174"}}}},{"id":"a791009c5dac4d1b9185a92b56b19775","value":{"@odata.type":"#microsoft.graph.plannerChecklistItem","isChecked":false,"title":"Wire the form to redirect on submit","orderHint":"8584100870A*","lastModifiedDateTime":"2026-10-09T04:23:15.8251031Z","lastModifiedBy":{"user":{"displayName":null,"id":"129b8133-2f40-46f4-8391-49fec10f3174"}}}}]</t>
  </si>
  <si>
    <t>8584110382319429739PH</t>
  </si>
  <si>
    <t>2026-10-14T12:32:03.0035708Z</t>
  </si>
  <si>
    <t>iwKT-GjT6kOaJ3JJFD9_z2QAMoie</t>
  </si>
  <si>
    <t>Contentful Project</t>
  </si>
  <si>
    <t>{"129b8133-2f40-46f4-8391-49fec10f3174":{"@odata.type":"#microsoft.graph.plannerAssignment","assignedDateTime":"2026-10-08T13:13:48.730709Z","orderHint":"\"","assignedBy":{"user":{"displayName":null,"id":"129b8133-2f40-46f4-8391-49fec10f3174"},"application":{"displayName":null,"id":"75f31797-37c9-498e-8dc9-53c16a36afca"}}}}</t>
  </si>
  <si>
    <t>2026-09-21T08:13:13.8808502Z</t>
  </si>
  <si>
    <t>NOTE: CMS migration/streamlining work. Check the vault BrandCom notes for current status.</t>
  </si>
  <si>
    <t>[{"id":"231eef543e5541c8b0159d689827db68","value":{"@odata.type":"#microsoft.graph.plannerChecklistItem","isChecked":false,"title":"Make deck","orderHint":"8584114691865796372P#","lastModifiedDateTime":"2026-09-23T04:29:18.9150332Z","lastModifiedBy":{"user":{"displayName":null,"id":"129b8133-2f40-46f4-8391-49fec10f3174"}}}},{"id":"54a4732733b04da59a9af7409b8b374a","value":{"@odata.type":"#microsoft.graph.plannerChecklistItem","isChecked":true,"title":"Initial context gathered from vault and team chats","orderHint":"858410CF","lastModifiedDateTime":"2026-10-09T04:56:29.426033Z","lastModifiedBy":{"user":{"displayName":null,"id":"129b8133-2f40-46f4-8391-49fec10f3174"}}}},{"id":"c53910754d59454ab237f8fc1f0db236","value":{"@odata.type":"#microsoft.graph.plannerChecklistItem","isChecked":true,"title":"Task scoped and added to Planner","orderHint":"858410W.","lastModifiedDateTime":"2026-10-09T04:56:20.5310665Z","lastModifiedBy":{"user":{"displayName":null,"id":"129b8133-2f40-46f4-8391-49fec10f3174"}}}}]</t>
  </si>
  <si>
    <t>8584116285516486084PE</t>
  </si>
  <si>
    <t>2026-10-14T12:32:06.7303633Z</t>
  </si>
  <si>
    <t>eWzMNDoXhkqBQpzanbpjzGQAJj7Q</t>
  </si>
  <si>
    <t>Combining Tanya + Lead-Max</t>
  </si>
  <si>
    <t>{"129b8133-2f40-46f4-8391-49fec10f3174":{"@odata.type":"#microsoft.graph.plannerAssignment","assignedDateTime":"2026-10-08T13:09:16.5855687Z","orderHint":"\"","assignedBy":{"user":{"displayName":null,"id":"129b8133-2f40-46f4-8391-49fec10f3174"},"application":{"displayName":null,"id":"75f31797-37c9-498e-8dc9-53c16a36afca"}}}}</t>
  </si>
  <si>
    <t>2026-09-21T06:36:56.7047928Z</t>
  </si>
  <si>
    <t>{"category22":true,"category23":true}</t>
  </si>
  <si>
    <t>Scope out project_x000D_
_x000D_
NOTE: Tanya owns Village/digital experience touchpoints; Lead-Max is the B2B lead enrichment flow. Map both and draft a combined scope with owners.</t>
  </si>
  <si>
    <t>[{"id":"74a4b9fc2bdf41268f22a438da9b0b43","value":{"@odata.type":"#microsoft.graph.plannerChecklistItem","isChecked":false,"title":"Identify the integration points between the two","orderHint":"8584100870F'","lastModifiedDateTime":"2026-10-09T04:24:04.9098563Z","lastModifiedBy":{"user":{"displayName":null,"id":"129b8133-2f40-46f4-8391-49fec10f3174"}}}},{"id":"514abfab9c2e472b8b5a0d005d91d978","value":{"@odata.type":"#microsoft.graph.plannerChecklistItem","isChecked":false,"title":"Estimate effort and timeline","orderHint":"858410087073","lastModifiedDateTime":"2026-10-09T04:24:13.6798371Z","lastModifiedBy":{"user":{"displayName":null,"id":"129b8133-2f40-46f4-8391-49fec10f3174"}}}},{"id":"b4696bf623c34cac87ad5cc6b5e14171","value":{"@odata.type":"#microsoft.graph.plannerChecklistItem","isChecked":false,"title":"Draft the combined scope — objectives, deliverables, owners","orderHint":"8584100870&lt;(","lastModifiedDateTime":"2026-10-09T04:24:08.8920602Z","lastModifiedBy":{"user":{"displayName":null,"id":"129b8133-2f40-46f4-8391-49fec10f3174"}}}},{"id":"9dd22e528a4e4a109f10889af81c0bdd","value":{"@odata.type":"#microsoft.graph.plannerChecklistItem","isChecked":false,"title":"Map what Tanya owns today (Village, digital experience touchpoints)","orderHint":"8584100871104664726P9","lastModifiedDateTime":"2026-10-09T04:23:55.0320611Z","lastModifiedBy":{"user":{"displayName":null,"id":"129b8133-2f40-46f4-8391-49fec10f3174"}}}},{"id":"2662bcf3e086434c835b325a62eb6388","value":{"@odata.type":"#microsoft.graph.plannerChecklistItem","isChecked":false,"title":"Align with Tanya and get sign-off to proceed","orderHint":"85841008704N","lastModifiedDateTime":"2026-10-09T04:24:18.2767167Z","lastModifiedBy":{"user":{"displayName":null,"id":"129b8133-2f40-46f4-8391-49fec10f3174"}}}},{"id":"b778f641303e4e6f96d6498a33875faa","value":{"@odata.type":"#microsoft.graph.plannerChecklistItem","isChecked":true,"title":"Task scoped and added to Planner","orderHint":"858410086/","lastModifiedDateTime":"2026-10-09T04:52:41.0817159Z","lastModifiedBy":{"user":{"displayName":null,"id":"129b8133-2f40-46f4-8391-49fec10f3174"}}}},{"id":"58bd9ef32c154bc89f6ac58540da2cca","value":{"@odata.type":"#microsoft.graph.plannerChecklistItem","isChecked":false,"title":"Map the Lead-Max flow — enrichment, routing, handover","orderHint":"8584100870Y&gt;","lastModifiedDateTime":"2026-10-09T04:23:58.9520399Z","lastModifiedBy":{"user":{"displayName":null,"id":"129b8133-2f40-46f4-8391-49fec10f3174"}}}},{"id":"130a04600f7a4b56b09c7538f3fc7d62","value":{"@odata.type":"#microsoft.graph.plannerChecklistItem","isChecked":true,"title":"Initial context gathered from vault and team chats","orderHint":"858410085Y+","lastModifiedDateTime":"2026-10-09T04:52:49.1404711Z","lastModifiedBy":{"user":{"displayName":null,"id":"129b8133-2f40-46f4-8391-49fec10f3174"}}}}]</t>
  </si>
  <si>
    <t>8584116343288131154PI</t>
  </si>
  <si>
    <t>Ai, * Project</t>
  </si>
  <si>
    <t>2026-10-14T12:32:09.1017993Z</t>
  </si>
  <si>
    <t>3atuqLPaoUu7LuKHp43rw2QAIeHI</t>
  </si>
  <si>
    <t>exploring checkin solution for Dani's event.</t>
  </si>
  <si>
    <t>{"129b8133-2f40-46f4-8391-49fec10f3174":{"@odata.type":"#microsoft.graph.plannerAssignment","assignedDateTime":"2026-10-08T13:10:09.2109177Z","orderHint":"\"","assignedBy":{"user":{"displayName":null,"id":"129b8133-2f40-46f4-8391-49fec10f3174"},"application":{"displayName":null,"id":"75f31797-37c9-498e-8dc9-53c16a36afca"}}}}</t>
  </si>
  <si>
    <t>2026-09-15T06:13:30.1552183Z</t>
  </si>
  <si>
    <t>NOTE: Danni = Danielle Gu. Need a check-in solution (QR / badge printing / walk-ins) for her event — confirm date, venue, headcount with her first.</t>
  </si>
  <si>
    <t>[{"id":"6671ec0e86ec446aa8b9f2dee0bbb4c9","value":{"@odata.type":"#microsoft.graph.plannerChecklistItem","isChecked":false,"title":"Shortlist check-in tools and compare","orderHint":"85841008702G","lastModifiedDateTime":"2026-10-09T04:24:36.8418153Z","lastModifiedBy":{"user":{"displayName":null,"id":"129b8133-2f40-46f4-8391-49fec10f3174"}}}},{"id":"8e6048f454e949c393be7e472ffeb34a","value":{"@odata.type":"#microsoft.graph.plannerChecklistItem","isChecked":true,"title":"Initial context gathered from vault and team chats","orderHint":"858410085EL","lastModifiedDateTime":"2026-10-09T04:53:18.8986374Z","lastModifiedBy":{"user":{"displayName":null,"id":"129b8133-2f40-46f4-8391-49fec10f3174"}}}},{"id":"c92e1085bf6548a4819d40b7a97a0d3f","value":{"@odata.type":"#microsoft.graph.plannerChecklistItem","isChecked":false,"title":"Recommend and set up for the event","orderHint":"858410086\\3","lastModifiedDateTime":"2026-10-09T04:24:45.6720052Z","lastModifiedBy":{"user":{"displayName":null,"id":"129b8133-2f40-46f4-8391-49fec10f3174"}}}},{"id":"bd3a40a0eefd4db0898f1fd2ee5dbf7d","value":{"@odata.type":"#microsoft.graph.plannerChecklistItem","isChecked":false,"title":"Confirm event details with Dani — date, venue, expected headcount","orderHint":"8584100870765289684PG","lastModifiedDateTime":"2026-10-09T04:24:28.9776818Z","lastModifiedBy":{"user":{"displayName":null,"id":"129b8133-2f40-46f4-8391-49fec10f3174"}}}},{"id":"4ca61e2f12584b7b98fde744f8ac5d10","value":{"@odata.type":"#microsoft.graph.plannerChecklistItem","isChecked":false,"title":"Define check-in requirements (QR, badge printing, walk-ins)","orderHint":"85841008704+","lastModifiedDateTime":"2026-10-09T04:24:32.7162704Z","lastModifiedBy":{"user":{"displayName":null,"id":"129b8133-2f40-46f4-8391-49fec10f3174"}}}},{"id":"3a8c9267752c4f0fa9135560a0225275","value":{"@odata.type":"#microsoft.graph.plannerChecklistItem","isChecked":false,"title":"Test the top option end-to-end","orderHint":"858410087015","lastModifiedDateTime":"2026-10-09T04:24:41.0493597Z","lastModifiedBy":{"user":{"displayName":null,"id":"129b8133-2f40-46f4-8391-49fec10f3174"}}}}]</t>
  </si>
  <si>
    <t>8584121541353582513P8</t>
  </si>
  <si>
    <t>2026-10-14T12:32:11.5263888Z</t>
  </si>
  <si>
    <t>69DUvv6DpEGI7MvjBPJIVGQAJkXF</t>
  </si>
  <si>
    <t>Sorting out tracking issues Tim Merkel discussion with Katy.</t>
  </si>
  <si>
    <t>{"129b8133-2f40-46f4-8391-49fec10f3174":{"@odata.type":"#microsoft.graph.plannerAssignment","assignedDateTime":"2026-10-08T13:10:42.0391989Z","orderHint":"\"","assignedBy":{"user":{"displayName":null,"id":"129b8133-2f40-46f4-8391-49fec10f3174"},"application":{"displayName":null,"id":"75f31797-37c9-498e-8dc9-53c16a36afca"}}}}</t>
  </si>
  <si>
    <t>2026-09-15T06:09:01.8563835Z</t>
  </si>
  <si>
    <t>2026-08-18T10:00:00Z</t>
  </si>
  <si>
    <t>{"category13":true,"category23":true}</t>
  </si>
  <si>
    <t>NOTE: Open tracking gaps (UTMs, pixels, CRM sync). Sync with Katy on the paid side first, then bring the issue list to Tim Merkel with agreed owners and fixes.</t>
  </si>
  <si>
    <t>[{"id":"56856271152f468893deffd07fcde6d5","value":{"@odata.type":"#microsoft.graph.plannerChecklistItem","isChecked":false,"title":"Hold the discussion and agree owners + fixes","orderHint":"858410086AM","lastModifiedDateTime":"2026-10-09T04:25:15.3755464Z","lastModifiedBy":{"user":{"displayName":null,"id":"129b8133-2f40-46f4-8391-49fec10f3174"}}}},{"id":"2cef2967e1d5485ebf5522357f1901be","value":{"@odata.type":"#microsoft.graph.plannerChecklistItem","isChecked":false,"title":"Confirm reporting is accurate post-fix","orderHint":"858410086;&lt;","lastModifiedDateTime":"2026-10-09T04:25:24.3717245Z","lastModifiedBy":{"user":{"displayName":null,"id":"129b8133-2f40-46f4-8391-49fec10f3174"}}}},{"id":"ddf5dfd8510e4e9888cca4e337fe07b4","value":{"@odata.type":"#microsoft.graph.plannerChecklistItem","isChecked":false,"title":"List the known tracking issues (UTMs, pixels, CRM sync gaps)","orderHint":"8584100870417444230P$","lastModifiedDateTime":"2026-10-09T04:25:03.7692376Z","lastModifiedBy":{"user":{"displayName":null,"id":"129b8133-2f40-46f4-8391-49fec10f3174"}}}},{"id":"18a9d438c6054a79831d9729ced02e24","value":{"@odata.type":"#microsoft.graph.plannerChecklistItem","isChecked":false,"title":"Sync with Katy on what's broken on the paid side","orderHint":"858410086\\4","lastModifiedDateTime":"2026-10-09T04:25:07.5179187Z","lastModifiedBy":{"user":{"displayName":null,"id":"129b8133-2f40-46f4-8391-49fec10f3174"}}}},{"id":"db92e53e84f048a882b5d80ef33f7330","value":{"@odata.type":"#microsoft.graph.plannerChecklistItem","isChecked":false,"title":"Prep the issue list and questions for Tim Merkel","orderHint":"858410086J$","lastModifiedDateTime":"2026-10-09T04:25:11.5096083Z","lastModifiedBy":{"user":{"displayName":null,"id":"129b8133-2f40-46f4-8391-49fec10f3174"}}}},{"id":"cadf547371e94b80947f2bc9b01cdf9b","value":{"@odata.type":"#microsoft.graph.plannerChecklistItem","isChecked":true,"title":"Task scoped and added to Planner","orderHint":"858410085XO","lastModifiedDateTime":"2026-10-09T04:53:34.7331328Z","lastModifiedBy":{"user":{"displayName":null,"id":"129b8133-2f40-46f4-8391-49fec10f3174"}}}},{"id":"8109fee5c5e4401187951ed599f17219","value":{"@odata.type":"#microsoft.graph.plannerChecklistItem","isChecked":false,"title":"Implement fixes and verify data flows","orderHint":"858410086=E","lastModifiedDateTime":"2026-10-09T04:25:20.0627738Z","lastModifiedBy":{"user":{"displayName":null,"id":"129b8133-2f40-46f4-8391-49fec10f3174"}}}},{"id":"c134e7cba5134c8a92e1f6c714272201","value":{"@odata.type":"#microsoft.graph.plannerChecklistItem","isChecked":true,"title":"Initial context gathered from vault and team chats","orderHint":"858410085E\"","lastModifiedDateTime":"2026-10-09T04:53:42.9821417Z","lastModifiedBy":{"user":{"displayName":null,"id":"129b8133-2f40-46f4-8391-49fec10f3174"}}}}]</t>
  </si>
  <si>
    <t>8584121544036796805P&lt;</t>
  </si>
  <si>
    <t>Report, * Project</t>
  </si>
  <si>
    <t>2026-10-14T12:32:15.1140939Z</t>
  </si>
  <si>
    <t>cnIAqFLCJUGxQosU2Xf8YWQADDv9</t>
  </si>
  <si>
    <t>Create SOP for all processes</t>
  </si>
  <si>
    <t>{"129b8133-2f40-46f4-8391-49fec10f3174":{"@odata.type":"#microsoft.graph.plannerAssignment","assignedDateTime":"2026-10-08T12:56:39.5506397Z","orderHint":"\"","assignedBy":{"user":{"displayName":null,"id":"129b8133-2f40-46f4-8391-49fec10f3174"},"application":{"displayName":null,"id":"75f31797-37c9-498e-8dc9-53c16a36afca"}}}}</t>
  </si>
  <si>
    <t>2026-09-15T06:08:43.4238999Z</t>
  </si>
  <si>
    <t>{"category23":true}</t>
  </si>
  <si>
    <t>NOTE: SOPs for recurring team processes — campaigns, reporting, lead handling, events. Review with Rebecca and Aisah; publish in the shared team folder.</t>
  </si>
  <si>
    <t>[{"id":"aeb87cdbfd25479dbdbbe1fbe166c4e0","value":{"@odata.type":"#microsoft.graph.plannerChecklistItem","isChecked":true,"title":"Prioritize by frequency and pain","orderHint":"858410086\\F","lastModifiedDateTime":"2026-10-09T04:35:07.7205755Z","lastModifiedBy":{"user":{"displayName":null,"id":"129b8133-2f40-46f4-8391-49fec10f3174"}}}},{"id":"2d1a30094481493e94389f4054f1a96e","value":{"@odata.type":"#microsoft.graph.plannerChecklistItem","isChecked":false,"title":"Review with Rebecca and Aisah","orderHint":"858410086AJ","lastModifiedDateTime":"2026-10-09T04:25:47.3927311Z","lastModifiedBy":{"user":{"displayName":null,"id":"129b8133-2f40-46f4-8391-49fec10f3174"}}}},{"id":"ee0597e158d14e169eb8195a5c408d72","value":{"@odata.type":"#microsoft.graph.plannerChecklistItem","isChecked":false,"title":"Draft each SOP — steps, owners, tools, templates","orderHint":"858410086JI","lastModifiedDateTime":"2026-10-09T04:25:43.2229748Z","lastModifiedBy":{"user":{"displayName":null,"id":"129b8133-2f40-46f4-8391-49fec10f3174"}}}},{"id":"7b2d8aae7cdd4ba68425337457cb97f3","value":{"@odata.type":"#microsoft.graph.plannerChecklistItem","isChecked":false,"title":"Publish in the shared team folder","orderHint":"858410086=(","lastModifiedDateTime":"2026-10-09T04:25:51.6047727Z","lastModifiedBy":{"user":{"displayName":null,"id":"129b8133-2f40-46f4-8391-49fec10f3174"}}}},{"id":"03d22c86c6c543608fc98e4ade5ba651","value":{"@odata.type":"#microsoft.graph.plannerChecklistItem","isChecked":false,"title":"Set a quarterly review reminder","orderHint":"858410086;K","lastModifiedDateTime":"2026-10-09T04:25:55.8490471Z","lastModifiedBy":{"user":{"displayName":null,"id":"129b8133-2f40-46f4-8391-49fec10f3174"}}}},{"id":"7ed5c1db3e53422fa82d5f87e1272035","value":{"@odata.type":"#microsoft.graph.plannerChecklistItem","isChecked":false,"title":"Inventory all recurring team processes (campaigns, reporting, lead handling, events)","orderHint":"8584100870100467838P;","lastModifiedDateTime":"2026-10-09T04:25:35.4653589Z","lastModifiedBy":{"user":{"displayName":null,"id":"129b8133-2f40-46f4-8391-49fec10f3174"}}}}]</t>
  </si>
  <si>
    <t>8584121544220929001P5</t>
  </si>
  <si>
    <t>* Project</t>
  </si>
  <si>
    <t>2026-10-14T12:32:17.3846898Z</t>
  </si>
  <si>
    <t>FRfiIINxl02XF9Di7TUxX2QAPoad</t>
  </si>
  <si>
    <t>AI SDR - Talk to Lim</t>
  </si>
  <si>
    <t>{"129b8133-2f40-46f4-8391-49fec10f3174":{"@odata.type":"#microsoft.graph.plannerAssignment","assignedDateTime":"2026-10-08T13:13:07.4920341Z","orderHint":"\"","assignedBy":{"user":{"displayName":null,"id":"129b8133-2f40-46f4-8391-49fec10f3174"},"application":{"displayName":null,"id":"75f31797-37c9-498e-8dc9-53c16a36afca"}}}}</t>
  </si>
  <si>
    <t>2026-09-15T06:08:20.0706731Z</t>
  </si>
  <si>
    <t>NOTE: Lim = Wen Yi Lim (filed the 'Update Lead Times' request 10/5). Align on AI SDR pilot status and next-phase needs. Related vault folder: Ai-SDR/.</t>
  </si>
  <si>
    <t>[{"id":"08b100c3e0a94f1bb7692a9843b71ce0","value":{"@odata.type":"#microsoft.graph.plannerChecklistItem","isChecked":true,"title":"Task scoped and added to Planner","orderHint":"858410085XD","lastModifiedDateTime":"2026-10-09T04:54:00.0335375Z","lastModifiedBy":{"user":{"displayName":null,"id":"129b8133-2f40-46f4-8391-49fec10f3174"}}}},{"id":"8f965aa201bc4ad589e654c6e2fcc526","value":{"@odata.type":"#microsoft.graph.plannerChecklistItem","isChecked":false,"title":"Action the follow-ups","orderHint":"85841008690X0","lastModifiedDateTime":"2026-10-09T04:26:23.3508937Z","lastModifiedBy":{"user":{"displayName":null,"id":"129b8133-2f40-46f4-8391-49fec10f3174"}}}},{"id":"63864ea3dd0947ea88ce78f3266d8b80","value":{"@odata.type":"#microsoft.graph.plannerChecklistItem","isChecked":false,"title":"Align on what you need from Lim for the next phase","orderHint":"85841008694M","lastModifiedDateTime":"2026-10-09T04:26:10.7658217Z","lastModifiedBy":{"user":{"displayName":null,"id":"129b8133-2f40-46f4-8391-49fec10f3174"}}}},{"id":"932b52c521444ae9a64bd5f6b7dfc11f","value":{"@odata.type":"#microsoft.graph.plannerChecklistItem","isChecked":false,"title":"Update the Ai-SDR project note with outcomes","orderHint":"85841008691N","lastModifiedDateTime":"2026-10-09T04:26:19.0190685Z","lastModifiedBy":{"user":{"displayName":null,"id":"129b8133-2f40-46f4-8391-49fec10f3174"}}}},{"id":"37e2f237e157483d8497601b3a798788","value":{"@odata.type":"#microsoft.graph.plannerChecklistItem","isChecked":false,"title":"Prep the AI SDR status — pilot results, call volumes, bookings","orderHint":"8584100869788535167P.","lastModifiedDateTime":"2026-10-09T04:26:06.654577Z","lastModifiedBy":{"user":{"displayName":null,"id":"129b8133-2f40-46f4-8391-49fec10f3174"}}}},{"id":"f02d471614fb4c30b291625fe83a26fa","value":{"@odata.type":"#microsoft.graph.plannerChecklistItem","isChecked":false,"title":"Hold the discussion and capture decisions","orderHint":"85841008692M","lastModifiedDateTime":"2026-10-09T04:26:14.7999907Z","lastModifiedBy":{"user":{"displayName":null,"id":"129b8133-2f40-46f4-8391-49fec10f3174"}}}}]</t>
  </si>
  <si>
    <t>8584121544454497814P/</t>
  </si>
  <si>
    <t>2026-10-14T12:32:19.7484639Z</t>
  </si>
  <si>
    <t>IRN2kdT_j0K6rGD7b0_ZuGQAJdXG</t>
  </si>
  <si>
    <t>Replace Clickup with Microsoft Planner</t>
  </si>
  <si>
    <t>{"129b8133-2f40-46f4-8391-49fec10f3174":{"@odata.type":"#microsoft.graph.plannerAssignment","assignedDateTime":"2026-10-08T13:13:44.453109Z","orderHint":"\"","assignedBy":{"user":{"displayName":null,"id":"129b8133-2f40-46f4-8391-49fec10f3174"},"application":{"displayName":null,"id":"75f31797-37c9-498e-8dc9-53c16a36afca"}}}}</t>
  </si>
  <si>
    <t>2026-09-15T06:07:48.5565783Z</t>
  </si>
  <si>
    <t>NOTE: Migrating the team's work from ClickUp to Planner (71 tasks in this plan). Task inventory: https://steelcase-my.sharepoint.com/:x:/p/alau2/IQAR4MiHA6b0RK6HK6WoJFngASyjOPeCgRCCeYwcAmUdQnw?e=CBDcl5 — then brief the 8 Brand Comm APAC leaders and archive ClickUp.</t>
  </si>
  <si>
    <t>[{"id":"05106b2ebd064c5badb47aca507ba5a3","value":{"@odata.type":"#microsoft.graph.plannerChecklistItem","isChecked":false,"title":"Brief the 8 Brand Comm APAC leaders on the Planner workflow","orderHint":"85841008750ZC","lastModifiedDateTime":"2026-10-09T04:16:19.1515242Z","lastModifiedBy":{"user":{"displayName":null,"id":"129b8133-2f40-46f4-8391-49fec10f3174"}}}},{"id":"4e43c9ee7af44a2b8d4ca845cdffd3d2","value":{"@odata.type":"#microsoft.graph.plannerChecklistItem","isChecked":false,"title":"Run team training once Michelle green-lights","orderHint":"85841006X6","lastModifiedDateTime":"2026-10-09T11:08:36.3430913Z","lastModifiedBy":{"user":{"displayName":null,"id":"129b8133-2f40-46f4-8391-49fec10f3174"}}}},{"id":"9dc535da611945a3a3907b5ac7b7ab9f","value":{"@odata.type":"#microsoft.graph.plannerChecklistItem","isChecked":false,"title":"PlannerHub dashboard (go.steelcase.com) shared with Michelle","orderHint":"85841007C","lastModifiedDateTime":"2026-10-09T11:08:31.8750677Z","lastModifiedBy":{"user":{"displayName":null,"id":"129b8133-2f40-46f4-8391-49fec10f3174"}}}},{"id":"18ea202c46964c98aa2f1dd8b51d86b7","value":{"@odata.type":"#microsoft.graph.plannerChecklistItem","isChecked":true,"title":"Design Planner plan/bucket/label structure to mirror ClickUp","orderHint":"85841008755/","lastModifiedDateTime":"2026-10-09T04:54:19.161359Z","lastModifiedBy":{"user":{"displayName":null,"id":"129b8133-2f40-46f4-8391-49fec10f3174"}}}},{"id":"073adbe55c4f40069c32db2b1d9dcba4","value":{"@odata.type":"#microsoft.graph.plannerChecklistItem","isChecked":false,"title":"Audit ClickUp - list spaces, lists and open tasks to migrate","orderHint":"8584100875863035531P;","lastModifiedDateTime":"2026-10-09T04:15:59.2088453Z","lastModifiedBy":{"user":{"displayName":null,"id":"129b8133-2f40-46f4-8391-49fec10f3174"}}}},{"id":"7e39957c813e4b809460af5611f85139","value":{"@odata.type":"#microsoft.graph.plannerChecklistItem","isChecked":false,"title":"Recreate buckets and labels in Planner, migrate open tasks","orderHint":"85841008752O","lastModifiedDateTime":"2026-10-09T04:16:11.17932Z","lastModifiedBy":{"user":{"displayName":null,"id":"129b8133-2f40-46f4-8391-49fec10f3174"}}}},{"id":"fcaab957a4e7406dbfa0e5945f5646cc","value":{"@odata.type":"#microsoft.graph.plannerChecklistItem","isChecked":false,"title":"Re-link key attachments and SharePoint references","orderHint":"85841008751W&amp;","lastModifiedDateTime":"2026-10-09T04:16:15.1992954Z","lastModifiedBy":{"user":{"displayName":null,"id":"129b8133-2f40-46f4-8391-49fec10f3174"}}}},{"id":"1e224496b9a14de6bf779930567277d8","value":{"@odata.type":"#microsoft.graph.plannerChecklistItem","isChecked":false,"title":"Confirm Michelle's monthly/quarterly reporting view, then archive ClickUp","orderHint":"85841008750F1","lastModifiedDateTime":"2026-10-09T04:16:23.1370245Z","lastModifiedBy":{"user":{"displayName":null,"id":"129b8133-2f40-46f4-8391-49fec10f3174"}}}},{"id":"3b976c4ed8a545d29b5001bc5f7e99cf","value":{"@odata.type":"#microsoft.graph.plannerChecklistItem","isChecked":false,"title":"Export task inventory from ClickUp (assignees, due dates, descriptions)","orderHint":"85841008753K","lastModifiedDateTime":"2026-10-09T04:16:07.5559931Z","lastModifiedBy":{"user":{"displayName":null,"id":"129b8133-2f40-46f4-8391-49fec10f3174"}}}}]</t>
  </si>
  <si>
    <t>8584121544769896651P.</t>
  </si>
  <si>
    <t>2026-10-14T12:32:21.9889101Z</t>
  </si>
  <si>
    <t>G4J5kNOAxUO_fKW-hi3A-WQABaSH</t>
  </si>
  <si>
    <t>Dashboard: Email reporting</t>
  </si>
  <si>
    <t>{"129b8133-2f40-46f4-8391-49fec10f3174":{"@odata.type":"#microsoft.graph.plannerAssignment","assignedDateTime":"2026-10-08T13:09:23.9117786Z","orderHint":"\"","assignedBy":{"user":{"displayName":null,"id":"129b8133-2f40-46f4-8391-49fec10f3174"},"application":{"displayName":null,"id":"75f31797-37c9-498e-8dc9-53c16a36afca"}}}}</t>
  </si>
  <si>
    <t>2026-09-15T06:07:24.7838288Z</t>
  </si>
  <si>
    <t>NOTE: Email performance dashboard from HubSpot data — sends, opens, CTR, leads, MQLs by campaign and market, with MoM trends. Validate against HubSpot native reports.</t>
  </si>
  <si>
    <t>[{"id":"531a64cdae07479a9c60ee02c76e19ae","value":{"@odata.type":"#microsoft.graph.plannerChecklistItem","isChecked":false,"title":"Define the email KPIs — sends, opens, CTR, leads, MQLs","orderHint":"8584100869293009532PF","lastModifiedDateTime":"2026-10-09T04:26:56.2093928Z","lastModifiedBy":{"user":{"displayName":null,"id":"129b8133-2f40-46f4-8391-49fec10f3174"}}}},{"id":"486a17ca4ae14631928e0dd59bd02f44","value":{"@odata.type":"#microsoft.graph.plannerChecklistItem","isChecked":false,"title":"Validate numbers against HubSpot's native reports","orderHint":"85841008689O","lastModifiedDateTime":"2026-10-09T04:27:13.4220894Z","lastModifiedBy":{"user":{"displayName":null,"id":"129b8133-2f40-46f4-8391-49fec10f3174"}}}},{"id":"920b4ab22f804847aa2eedcd17f8965a","value":{"@odata.type":"#microsoft.graph.plannerChecklistItem","isChecked":false,"title":"Build the email performance view by campaign and market","orderHint":"8584100868H6","lastModifiedDateTime":"2026-10-09T04:27:04.5498117Z","lastModifiedBy":{"user":{"displayName":null,"id":"129b8133-2f40-46f4-8391-49fec10f3174"}}}},{"id":"7ef8279aefd74778ab01a579fcdd4072","value":{"@odata.type":"#microsoft.graph.plannerChecklistItem","isChecked":true,"title":"Task scoped and added to Planner","orderHint":"858410085X3","lastModifiedDateTime":"2026-10-09T04:54:35.5231109Z","lastModifiedBy":{"user":{"displayName":null,"id":"129b8133-2f40-46f4-8391-49fec10f3174"}}}},{"id":"aabacd9c521c4589881ba3ace8841f58","value":{"@odata.type":"#microsoft.graph.plannerChecklistItem","isChecked":false,"title":"Share with the team and set the refresh cadence","orderHint":"85841008686)","lastModifiedDateTime":"2026-10-09T04:27:22.1613544Z","lastModifiedBy":{"user":{"displayName":null,"id":"129b8133-2f40-46f4-8391-49fec10f3174"}}}},{"id":"fb19c7df00b9437eb9346513aa184489","value":{"@odata.type":"#microsoft.graph.plannerChecklistItem","isChecked":false,"title":"Add month-on-month trend charts","orderHint":"8584100868&gt;G","lastModifiedDateTime":"2026-10-09T04:27:08.4046179Z","lastModifiedBy":{"user":{"displayName":null,"id":"129b8133-2f40-46f4-8391-49fec10f3174"}}}},{"id":"ea92e393a940403ab6a05fd32fd276cb","value":{"@odata.type":"#microsoft.graph.plannerChecklistItem","isChecked":false,"title":"Connect HubSpot email data to the dashboard source","orderHint":"8584100868Z9","lastModifiedDateTime":"2026-10-09T04:27:00.1394205Z","lastModifiedBy":{"user":{"displayName":null,"id":"129b8133-2f40-46f4-8391-49fec10f3174"}}}}]</t>
  </si>
  <si>
    <t>8584121545007319813PC</t>
  </si>
  <si>
    <t>2026-10-14T12:32:24.6656305Z</t>
  </si>
  <si>
    <t>fg89gxhDJkS9uDGGnGOLCWQABwXy</t>
  </si>
  <si>
    <t>NEW Monthly Report</t>
  </si>
  <si>
    <t>{"129b8133-2f40-46f4-8391-49fec10f3174":{"@odata.type":"#microsoft.graph.plannerAssignment","assignedDateTime":"2026-10-08T13:09:31.577927Z","orderHint":"\"","assignedBy":{"user":{"displayName":null,"id":"129b8133-2f40-46f4-8391-49fec10f3174"},"application":{"displayName":null,"id":"75f31797-37c9-498e-8dc9-53c16a36afca"}}}}</t>
  </si>
  <si>
    <t>2026-09-15T06:06:46.3992994Z</t>
  </si>
  <si>
    <t>NOTE: Standard monthly report (spend, leads, MQLs, CPL). September deck is the baseline — review with Michelle before the first formal send-out.</t>
  </si>
  <si>
    <t>[{"id":"bd650b1c3b29455aae63a6023041f987","value":{"@odata.type":"#microsoft.graph.plannerChecklistItem","isChecked":false,"title":"Define data sources for each section (ad platforms, HubSpot, Salesforce)","orderHint":"85841008685)","lastModifiedDateTime":"2026-10-09T04:27:40.0826982Z","lastModifiedBy":{"user":{"displayName":null,"id":"129b8133-2f40-46f4-8391-49fec10f3174"}}}},{"id":"33f6ed52851943bd9cac88d68b9d2c91","value":{"@odata.type":"#microsoft.graph.plannerChecklistItem","isChecked":false,"title":"Build the template (deck or doc)","orderHint":"858410086832","lastModifiedDateTime":"2026-10-09T04:27:49.2959997Z","lastModifiedBy":{"user":{"displayName":null,"id":"129b8133-2f40-46f4-8391-49fec10f3174"}}}},{"id":"d350faff36c64c10892efe86caebf449","value":{"@odata.type":"#microsoft.graph.plannerChecklistItem","isChecked":false,"title":"Set the recurring monthly deadline","orderHint":"85841008680X*","lastModifiedDateTime":"2026-10-09T04:28:03.2065219Z","lastModifiedBy":{"user":{"displayName":null,"id":"129b8133-2f40-46f4-8391-49fec10f3174"}}}},{"id":"e06be6f316b34d3291fd68b63e33e700","value":{"@odata.type":"#microsoft.graph.plannerChecklistItem","isChecked":false,"title":"Lock the monthly report structure — spend, leads, MQLs, CPL","orderHint":"8584100868894383159P9","lastModifiedDateTime":"2026-10-09T04:27:36.1056095Z","lastModifiedBy":{"user":{"displayName":null,"id":"129b8133-2f40-46f4-8391-49fec10f3174"}}}},{"id":"bd84f59bd3414520a3797bb702af9ea7","value":{"@odata.type":"#microsoft.graph.plannerChecklistItem","isChecked":false,"title":"Review with Michelle before first send-out","orderHint":"85841008681%","lastModifiedDateTime":"2026-10-09T04:27:58.7236909Z","lastModifiedBy":{"user":{"displayName":null,"id":"129b8133-2f40-46f4-8391-49fec10f3174"}}}},{"id":"c5d93028223b450e9865b92320b25bb8","value":{"@odata.type":"#microsoft.graph.plannerChecklistItem","isChecked":true,"title":"Populate with September actuals as the baseline","orderHint":"858410086820","lastModifiedDateTime":"2026-10-09T04:54:54.0513122Z","lastModifiedBy":{"user":{"displayName":null,"id":"129b8133-2f40-46f4-8391-49fec10f3174"}}}}]</t>
  </si>
  <si>
    <t>8584121545391216412PC</t>
  </si>
  <si>
    <t>2026-10-14T12:32:27.5165154Z</t>
  </si>
  <si>
    <t>HW6o9dzYM06ve9xSOE4cCWQAGMF-</t>
  </si>
  <si>
    <t>NEW Weekly Report</t>
  </si>
  <si>
    <t>{"129b8133-2f40-46f4-8391-49fec10f3174":{"@odata.type":"#microsoft.graph.plannerAssignment","assignedDateTime":"2026-10-08T13:09:10.8689354Z","orderHint":"\"","assignedBy":{"user":{"displayName":null,"id":"129b8133-2f40-46f4-8391-49fec10f3174"},"application":{"displayName":null,"id":"75f31797-37c9-498e-8dc9-53c16a36afca"}}}}</t>
  </si>
  <si>
    <t>2026-09-15T06:06:36.4582085Z</t>
  </si>
  <si>
    <t>NOTE: Lightweight weekly — spend pacing, leads, key actions. Keep it scannable; set a fixed send day.</t>
  </si>
  <si>
    <t>[{"id":"4e7181aa50a54230ac72a0b8e96e2a2b","value":{"@odata.type":"#microsoft.graph.plannerChecklistItem","isChecked":false,"title":"Run the first edition this week","orderHint":"8584100867@G","lastModifiedDateTime":"2026-10-09T04:28:25.6918671Z","lastModifiedBy":{"user":{"displayName":null,"id":"129b8133-2f40-46f4-8391-49fec10f3174"}}}},{"id":"1904b1d8a66543649eca36cf1261165c","value":{"@odata.type":"#microsoft.graph.plannerChecklistItem","isChecked":true,"title":"Initial context gathered from vault and team chats","orderHint":"858410085D?","lastModifiedDateTime":"2026-10-09T04:55:20.6659193Z","lastModifiedBy":{"user":{"displayName":null,"id":"129b8133-2f40-46f4-8391-49fec10f3174"}}}},{"id":"1e68bdd6a3c1498db37ebb914dd634b7","value":{"@odata.type":"#microsoft.graph.plannerChecklistItem","isChecked":true,"title":"Task scoped and added to Planner","orderHint":"858410085XE","lastModifiedDateTime":"2026-10-09T04:55:09.8212557Z","lastModifiedBy":{"user":{"displayName":null,"id":"129b8133-2f40-46f4-8391-49fec10f3174"}}}},{"id":"7209ccded82d4b10af8dfa3ceae359a4","value":{"@odata.type":"#microsoft.graph.plannerChecklistItem","isChecked":true,"title":"Set the recurring weekly send day","orderHint":"8584100867;-","lastModifiedDateTime":"2026-10-12T00:53:33.6892393Z","lastModifiedBy":{"user":{"displayName":null,"id":"129b8133-2f40-46f4-8391-49fec10f3174"}}}},{"id":"69a2d98fc430498c9539990a8e014974","value":{"@odata.type":"#microsoft.graph.plannerChecklistItem","isChecked":true,"title":"Automate data pulls where possible","orderHint":"8584100867[L","lastModifiedDateTime":"2026-10-12T00:53:40.9800331Z","lastModifiedBy":{"user":{"displayName":null,"id":"129b8133-2f40-46f4-8391-49fec10f3174"}}}},{"id":"6b77d128c7cc42d88f49e5b7dc91477a","value":{"@odata.type":"#microsoft.graph.plannerChecklistItem","isChecked":false,"title":"Lock the weekly structure — spend pacing, leads, key actions","orderHint":"8584100868521200548P5","lastModifiedDateTime":"2026-10-09T04:28:13.4396393Z","lastModifiedBy":{"user":{"displayName":null,"id":"129b8133-2f40-46f4-8391-49fec10f3174"}}}},{"id":"ea646136f6104d6da0dab5c97a26c98f","value":{"@odata.type":"#microsoft.graph.plannerChecklistItem","isChecked":false,"title":"Build the lightweight template","orderHint":"8584100867I9","lastModifiedDateTime":"2026-10-09T04:28:21.3694981Z","lastModifiedBy":{"user":{"displayName":null,"id":"129b8133-2f40-46f4-8391-49fec10f3174"}}}}]</t>
  </si>
  <si>
    <t>8584121545490581770PJ</t>
  </si>
  <si>
    <t>2026-10-14T12:32:30.4447498Z</t>
  </si>
  <si>
    <t>BJCaZwDVt0yZHxaD6uURv2QADRAh</t>
  </si>
  <si>
    <t>CX Project</t>
  </si>
  <si>
    <t>{"129b8133-2f40-46f4-8391-49fec10f3174":{"@odata.type":"#microsoft.graph.plannerAssignment","assignedDateTime":"2026-10-08T13:13:02.5773792Z","orderHint":"\"","assignedBy":{"user":{"displayName":null,"id":"129b8133-2f40-46f4-8391-49fec10f3174"},"application":{"displayName":null,"id":"75f31797-37c9-498e-8dc9-53c16a36afca"}}}}</t>
  </si>
  <si>
    <t>2026-09-15T06:05:30.6254732Z</t>
  </si>
  <si>
    <t>{"category16":true,"category23":true}</t>
  </si>
  <si>
    <t>CX project:_x000D_
_x000D_
NOTE: Customer experience project. Check the vault BrandCom notes for current status.</t>
  </si>
  <si>
    <t>[{"id":"3f0278885ac0479da0ccebf0c2fc3edc","value":{"@odata.type":"#microsoft.graph.plannerChecklistItem","isChecked":true,"title":"List out all SC website links","orderHint":"8584121545910045830P?","lastModifiedDateTime":"2026-10-09T04:35:34.4525344Z","lastModifiedBy":{"user":{"displayName":null,"id":"129b8133-2f40-46f4-8391-49fec10f3174"}}}},{"id":"db69dae060104007b422c033dc32d228","value":{"@odata.type":"#microsoft.graph.plannerChecklistItem","isChecked":true,"title":"indexing status.","orderHint":"85841215455O","lastModifiedDateTime":"2026-10-09T04:35:41.3984517Z","lastModifiedBy":{"user":{"displayName":null,"id":"129b8133-2f40-46f4-8391-49fec10f3174"}}}},{"id":"78979c11f88041799bb126b7383f8847","value":{"@odata.type":"#microsoft.graph.plannerChecklistItem","isChecked":false,"title":"See if we can implement anything now without budget.","orderHint":"85841215453B","lastModifiedDateTime":"2026-09-15T06:06:12.2625153Z","lastModifiedBy":{"user":{"displayName":null,"id":"129b8133-2f40-46f4-8391-49fec10f3174"}}}}]</t>
  </si>
  <si>
    <t>8584121546148987874PH</t>
  </si>
  <si>
    <t>CX, * Project</t>
  </si>
  <si>
    <t>2026-10-14T12:32:32.9782539Z</t>
  </si>
  <si>
    <t>b-1JPFpdLEKKfZvGnDoML2QAH-WC</t>
  </si>
  <si>
    <t>Dealer conference Deck</t>
  </si>
  <si>
    <t>Urgent</t>
  </si>
  <si>
    <t>{"129b8133-2f40-46f4-8391-49fec10f3174":{"@odata.type":"#microsoft.graph.plannerAssignment","assignedDateTime":"2026-10-08T13:08:26.1890146Z","orderHint":"\"","assignedBy":{"user":{"displayName":null,"id":"129b8133-2f40-46f4-8391-49fec10f3174"},"application":{"displayName":null,"id":"75f31797-37c9-498e-8dc9-53c16a36afca"}}}}</t>
  </si>
  <si>
    <t>2026-09-15T06:04:50.5591925Z</t>
  </si>
  <si>
    <t>2026-09-27T10:00:00Z</t>
  </si>
  <si>
    <t>NOTE: Adam's 20-min Day 2 intro — paid lead gen, capture/nurture, qualification, dealer handover, Salesforce tracking. Align chapter titles with Ivanka's sizzle reel; storyboard locked with Ivanka, Adi, Danni; final deck to Peter Chong. File under C.dealer folder.</t>
  </si>
  <si>
    <t>[{"id":"366250a8ef6b4fbc8fc5ebdd3b7762ea","value":{"@odata.type":"#microsoft.graph.plannerChecklistItem","isChecked":true,"title":"Fill in the 'Winning Earlier in the B2B Buying Journey' deck under the C.dealer folder","orderHint":"85841008743F","lastModifiedDateTime":"2026-10-09T06:56:01.9960574Z","lastModifiedBy":{"user":{"displayName":null,"id":"129b8133-2f40-46f4-8391-49fec10f3174"}}}},{"id":"38c9999b4bef44a5a75973170e296fde","value":{"@odata.type":"#microsoft.graph.plannerChecklistItem","isChecked":true,"title":"Align chapter titles with Ivanka's sizzle reel (outcomes framing)","orderHint":"8584100874X5","lastModifiedDateTime":"2026-10-09T04:56:04.9544382Z","lastModifiedBy":{"user":{"displayName":null,"id":"129b8133-2f40-46f4-8391-49fec10f3174"}}}},{"id":"aa81f18f690f43949c4874080497ac1d","value":{"@odata.type":"#microsoft.graph.plannerChecklistItem","isChecked":false,"title":"Submit the final Day 2 deck to Peter Chong","orderHint":"85841008746/","lastModifiedDateTime":"2026-10-09T06:55:51.4698494Z","lastModifiedBy":{"user":{"displayName":null,"id":"129b8133-2f40-46f4-8391-49fec10f3174"}}}},{"id":"0f71f1ebe5c94be796152f820d92b0f0","value":{"@odata.type":"#microsoft.graph.plannerChecklistItem","isChecked":true,"title":"Lock AD station menu format with Danielle","orderHint":"85841006X7","lastModifiedDateTime":"2026-10-12T00:52:49.953366Z","lastModifiedBy":{"user":{"displayName":null,"id":"129b8133-2f40-46f4-8391-49fec10f3174"}}}},{"id":"2d6fe92109a949d686862fbd999c90c2","value":{"@odata.type":"#microsoft.graph.plannerChecklistItem","isChecked":true,"title":"Lock Adam's section: paid lead gen, capture/nurture, qualification, dealer handover, SFDC tracking","orderHint":"8584100875220789081PI","lastModifiedDateTime":"2026-10-09T06:55:36.8215537Z","lastModifiedBy":{"user":{"displayName":null,"id":"129b8133-2f40-46f4-8391-49fec10f3174"}}}},{"id":"b38224acf6d74d4fa95bbfbcbed4e030","value":{"@odata.type":"#microsoft.graph.plannerChecklistItem","isChecked":false,"title":"Confirm the 4-part storyboard flow with Ivanka, Adi and Dani","orderHint":"8584100874E@","lastModifiedDateTime":"2026-10-09T06:55:41.1913823Z","lastModifiedBy":{"user":{"displayName":null,"id":"129b8133-2f40-46f4-8391-49fec10f3174"}}}},{"id":"6e06f1120baf443783f0317541aeecf1","value":{"@odata.type":"#microsoft.graph.plannerChecklistItem","isChecked":false,"title":"Rehearse the 20-minute interactive intro session","orderHint":"8584100874;&lt;","lastModifiedDateTime":"2026-10-09T04:17:49.2157679Z","lastModifiedBy":{"user":{"displayName":null,"id":"129b8133-2f40-46f4-8391-49fec10f3174"}}}},{"id":"3fbed80f82c9420193c51032b968e475","value":{"@odata.type":"#microsoft.graph.plannerChecklistItem","isChecked":false,"title":"Confirm Day 1 sizzle video delivery (agency, this weekend)","orderHint":"85841007D","lastModifiedDateTime":"2026-10-09T11:07:45.0422179Z","lastModifiedBy":{"user":{"displayName":null,"id":"129b8133-2f40-46f4-8391-49fec10f3174"}}}}]</t>
  </si>
  <si>
    <t>8584121546549580065P9</t>
  </si>
  <si>
    <t>2026-10-14T12:32:36.1502708Z</t>
  </si>
  <si>
    <t>piavqynX0EON-xhZ-CDgAmQAAmxD</t>
  </si>
  <si>
    <t>Karman Campaign Kit- Replace Carousel Assets in JP</t>
  </si>
  <si>
    <t>Gw8d1qlHp0G2XXOqpsiKP2QAPmSt</t>
  </si>
  <si>
    <t>Done</t>
  </si>
  <si>
    <t>{"b0dde2c9-92a4-4d86-a4fd-2a130944956f":{"@odata.type":"#microsoft.graph.plannerAssignment","assignedDateTime":"2026-10-14T05:56:37.8351868Z","orderHint":"\"","assignedBy":{"user":{"displayName":null,"id":"129b8133-2f40-46f4-8391-49fec10f3174"},"application":{"displayName":null,"id":"75f31797-37c9-498e-8dc9-53c16a36afca"}}}}</t>
  </si>
  <si>
    <t>2026-10-09T06:57:27.2064863Z</t>
  </si>
  <si>
    <t>2de20267-3e34-4f36-80b7-993fc93717da</t>
  </si>
  <si>
    <t>2026-10-14T08:56:28.9901566Z</t>
  </si>
  <si>
    <t>Hi Aisah,_x000D_
_x000D_
Please replace the carousel assets in the Karman Campaign Kit (JP version) with the revised assets._x000D_
_x000D_
Revised assets: [Carousel](https://steelcase.sharepoint.com/:f:/r/sites/ONEMARKETINGAPAC/Shared%20Documents/OneMarketing%20Folder/Brand%20Comms/B.%20Projects/Translations/Vendors%20translation/Karman%20Assets%202026/Jp%20final/Carousel?d=we9deda8c46e9454da27570fa6dba67ff&amp;amp;csf=1&amp;amp;web=1&amp;amp;e=ogPNda)_x000D_
Revised Deck- [SC_26_Karman Social Marketing Kit (Japanese 3.9.26).pptx](https://steelcase.sharepoint.com/:p:/r/sites/ONEMARKETINGAPAC/Shared%20Documents/OneMarketing%20Folder/Brand%20Comms/B.%20Projects/Translations/Vendors%20translation/Karman%20Assets%202026/Jp%20final/SC_26_Karman%20Social%20Marketing%20Kit%20%28Japanese%203.9.26%29.pptx?d=w5aa917978d2e474d8c98aef428962172&amp;amp;csf=1&amp;amp;web=1&amp;amp;e=Z0l4nY)_x000D_
_x000D_
Please:_x000D_
1. Remove the current JP carousel assets &amp; deck on the page- https://da.steelcase.com/portals/joklujek/SteelcaseKarmanCampaignKit#b2a509b9-7567-45b6-9f64-28937d8cd036_x000D_
2. Upload the revised assets in the same order and slots._x000D_
3. Keep all file names and other kit content the same.</t>
  </si>
  <si>
    <t>2026-10-14T12:32:38.6947186Z</t>
  </si>
  <si>
    <t>L0XrZbCjs0iGjNEkBsSAFGQAEO-T</t>
  </si>
  <si>
    <t>Double check if HK will still go live</t>
  </si>
  <si>
    <t>{"d8b70168-3e9f-451c-898e-9a1da643aafe":{"@odata.type":"#microsoft.graph.plannerAssignment","assignedDateTime":"2026-10-09T02:47:47.7229121Z","orderHint":"\"","assignedBy":{"user":{"displayName":null,"id":"d8b70168-3e9f-451c-898e-9a1da643aafe"},"application":{"displayName":null,"id":"75f31797-37c9-498e-8dc9-53c16a36afca"}}}}</t>
  </si>
  <si>
    <t>2026-10-09T02:47:47.7229728Z</t>
  </si>
  <si>
    <t>2026-10-14T07:51:27.3199535Z</t>
  </si>
  <si>
    <t>8584100928777981074P0</t>
  </si>
  <si>
    <t>2026-10-14T12:32:42.5876900Z</t>
  </si>
  <si>
    <t>W2PVHGlZvEaIMecOH-Jg7GQAIWKQ</t>
  </si>
  <si>
    <t>Karman Campaign Kit- Replace Carousel Assets in CN</t>
  </si>
  <si>
    <t>{"b0dde2c9-92a4-4d86-a4fd-2a130944956f":{"@odata.type":"#microsoft.graph.plannerAssignment","assignedDateTime":"2026-10-08T01:47:00.7134058Z","orderHint":"\"","assignedBy":{"user":{"displayName":null,"id":"b0dde2c9-92a4-4d86-a4fd-2a130944956f"},"application":{"displayName":null,"id":"75f31797-37c9-498e-8dc9-53c16a36afca"}}}}</t>
  </si>
  <si>
    <t>2026-10-08T01:41:15.7360731Z</t>
  </si>
  <si>
    <t>2026-10-14T07:16:32.0180048Z</t>
  </si>
  <si>
    <t>Hi Aisah,_x000D_
_x000D_
Please replace the carousel assets in the Karman Campaign Kit (CN version) with the revised assets._x000D_
_x000D_
Revised assets: [Carousel](https://steelcase.sharepoint.com/:f:/r/sites/ONEMARKETINGAPAC/Shared%20Documents/OneMarketing%20Folder/Brand%20Comms/B.%20Projects/Translations/Vendors%20translation/Karman%20Assets%202026/Cn%20Final/Carousel?d=wf7d2fa02c4284e7ba044ad99d1e3bfae&amp;amp;csf=1&amp;amp;web=1&amp;amp;e=zDaNFu)_x000D_
Revised Deck- [SC_26_Karman Social Marketing Kit (Chinese 2.9.26).pptx](https://steelcase.sharepoint.com/:p:/r/sites/ONEMARKETINGAPAC/Shared%20Documents/OneMarketing%20Folder/Brand%20Comms/B.%20Projects/Translations/Vendors%20translation/Karman%20Assets%202026/Cn%20Final/SC_26_Karman%20Social%20Marketing%20Kit%20%28Chinese%202.9.26%29.pptx?d=w42e0dd7b5058461d9cf6ba6aa969a691&amp;amp;csf=1&amp;amp;web=1&amp;amp;e=wakPvw)_x000D_
_x000D_
Please:_x000D_
1. Remove the current CN carousel assets &amp; deck on the page- https://da.steelcase.com/portals/joklujek/SteelcaseKarmanCampaignKit#b2a509b9-7567-45b6-9f64-28937d8cd036_x000D_
2. Upload the revised assets in the same order and slots._x000D_
3. Keep all file names and other kit content the same.</t>
  </si>
  <si>
    <t>8584101832698446128P/</t>
  </si>
  <si>
    <t>2026-10-14T12:32:44.7345017Z</t>
  </si>
  <si>
    <t>ncyb0qG09kaMtGqO6eX3TWQAMc3i</t>
  </si>
  <si>
    <t>Brand Assets on Village</t>
  </si>
  <si>
    <t>{"b0dde2c9-92a4-4d86-a4fd-2a130944956f":{"@odata.type":"#microsoft.graph.plannerAssignment","assignedDateTime":"2026-10-08T03:15:28.4474452Z","orderHint":"\"","assignedBy":{"user":{"displayName":null,"id":"9395807e-67f2-4b2f-870f-75bbbd3c6bf2"},"application":{"displayName":null,"id":"75f31797-37c9-498e-8dc9-53c16a36afca"}}}}</t>
  </si>
  <si>
    <t>2026-10-08T03:15:28.4474982Z</t>
  </si>
  <si>
    <t>9395807e-67f2-4b2f-870f-75bbbd3c6bf2</t>
  </si>
  <si>
    <t>2026-10-14T06:57:43.752718Z</t>
  </si>
  <si>
    <t>8584101776170751046P'</t>
  </si>
  <si>
    <t>2026-10-14T12:32:47.4443794Z</t>
  </si>
  <si>
    <t>NfvvcewVtUqpSF6JsAoibWQAMAxg</t>
  </si>
  <si>
    <t>Create gated LP for Science of Seating (SG Sales booth)</t>
  </si>
  <si>
    <t>{"b0dde2c9-92a4-4d86-a4fd-2a130944956f":{"@odata.type":"#microsoft.graph.plannerAssignment","assignedDateTime":"2026-10-07T08:23:41.2081293Z","orderHint":"\"","assignedBy":{"user":{"displayName":null,"id":"9395807e-67f2-4b2f-870f-75bbbd3c6bf2"},"application":{"displayName":null,"id":"75f31797-37c9-498e-8dc9-53c16a36afca"}}},"8275aaa4-2f87-4474-8d57-d6e65233cfe8":{"@odata.type":"#microsoft.graph.plannerAssignment","assignedDateTime":"2026-10-07T08:23:47.7073105Z","orderHint":"\"","assignedBy":{"user":{"displayName":null,"id":"9395807e-67f2-4b2f-870f-75bbbd3c6bf2"},"application":{"displayName":null,"id":"75f31797-37c9-498e-8dc9-53c16a36afca"}}}}</t>
  </si>
  <si>
    <t>2026-10-07T08:23:41.2081923Z</t>
  </si>
  <si>
    <t>2026-10-13T10:54:32.5888594Z</t>
  </si>
  <si>
    <t>{"category1":true,"category15":true}</t>
  </si>
  <si>
    <t>8584102455243216854P&gt;</t>
  </si>
  <si>
    <t>Aisah Abdul Talib; Jacky Low</t>
  </si>
  <si>
    <t>Web-dotcom, Others</t>
  </si>
  <si>
    <t>2026-10-07; 2026-10-07</t>
  </si>
  <si>
    <t>2026-10-14T12:32:51.1076151Z</t>
  </si>
  <si>
    <t>hlp_qY7gCkiM0frt-hDWj2QAOmhE</t>
  </si>
  <si>
    <t>Impact report 2026</t>
  </si>
  <si>
    <t>{"b0dde2c9-92a4-4d86-a4fd-2a130944956f":{"@odata.type":"#microsoft.graph.plannerAssignment","assignedDateTime":"2026-10-01T14:24:21.7415054Z","orderHint":"\"","assignedBy":{"user":{"displayName":null,"id":"b0dde2c9-92a4-4d86-a4fd-2a130944956f"},"application":{"displayName":null,"id":"75f31797-37c9-498e-8dc9-53c16a36afca"}}}}</t>
  </si>
  <si>
    <t>2026-10-01T14:24:21.741561Z</t>
  </si>
  <si>
    <t>2026-10-05T10:00:00Z</t>
  </si>
  <si>
    <t>2026-10-08T10:00:00Z</t>
  </si>
  <si>
    <t>2026-10-13T09:03:28.6355785Z</t>
  </si>
  <si>
    <t>https://steelcase.sharepoint.com/:w:/s/PeoplePlanetComms/IQBN1yVofBE2RLmPJWZI9LYEAbIl-3mqxuI-fghldpCxteY?e=6RiXel</t>
  </si>
  <si>
    <t>[{"id":"f473ef07f5a340f5b5cbb31cbcb1aa18","value":{"@odata.type":"#microsoft.graph.plannerChecklistItem","isChecked":false,"title":"Impact Report article","orderHint":"8584107421[:","lastModifiedDateTime":"2026-10-01T14:25:02.300092Z","lastModifiedBy":{"user":{"displayName":null,"id":"b0dde2c9-92a4-4d86-a4fd-2a130944956f"}}}},{"id":"95fe2a57986643448ae9de37cd2d3ef9","value":{"@odata.type":"#microsoft.graph.plannerChecklistItem","isChecked":true,"title":"Impact report PDFs","orderHint":"8584107422566009830P?","lastModifiedDateTime":"2026-10-08T00:31:50.2019272Z","lastModifiedBy":{"user":{"displayName":null,"id":"b0dde2c9-92a4-4d86-a4fd-2a130944956f"}}}}]</t>
  </si>
  <si>
    <t>[{"resourceLink":"https://steelcase.sharepoint.com/sites/BrandcomDigitalTeamTaskRequest/Shared%20Documents/CY%202025%20GRI%20Index.pdf","value":{"@odata.type":"#microsoft.graph.plannerExternalReference","alias":"CY 2025 GRI Index.pdf","type":"Pdf","previewPriority":"8584107420J(","lastModifiedDateTime":"2026-10-01T14:26:29.2750291Z","lastModifiedBy":{"user":{"displayName":null,"id":"b0dde2c9-92a4-4d86-a4fd-2a130944956f"}}}},{"resourceLink":"https://steelcase.sharepoint.com/sites/BrandcomDigitalTeamTaskRequest/Shared%20Documents/CY%202025%20TCFD%20Index.pdf","value":{"@odata.type":"#microsoft.graph.plannerExternalReference","alias":"CY 2025 TCFD Index.pdf","type":"Pdf","previewPriority":"8584107420\\9","lastModifiedDateTime":"2026-10-01T14:26:26.9237941Z","lastModifiedBy":{"user":{"displayName":null,"id":"b0dde2c9-92a4-4d86-a4fd-2a130944956f"}}}},{"resourceLink":"https://steelcase.sharepoint.com/sites/BrandcomDigitalTeamTaskRequest/Shared%20Documents/CY%202025%20SASB%20Index.pdf","value":{"@odata.type":"#microsoft.graph.plannerExternalReference","alias":"CY 2025 SASB Index.pdf","type":"Pdf","previewPriority":"[&gt;","lastModifiedDateTime":"2026-10-01T14:26:38.4474851Z","lastModifiedBy":{"user":{"displayName":null,"id":"b0dde2c9-92a4-4d86-a4fd-2a130944956f"}}}}]</t>
  </si>
  <si>
    <t>8584107422838280886P9</t>
  </si>
  <si>
    <t>2026-10-14T12:32:53.9873551Z</t>
  </si>
  <si>
    <t>YaYExzpOb0K9JxzQIY9EhWQAL95c</t>
  </si>
  <si>
    <t>Mock Up page updates</t>
  </si>
  <si>
    <t>Important</t>
  </si>
  <si>
    <t>{"b0dde2c9-92a4-4d86-a4fd-2a130944956f":{"@odata.type":"#microsoft.graph.plannerAssignment","assignedDateTime":"2026-09-30T02:45:50.928609Z","orderHint":"\"","assignedBy":{"user":{"displayName":null,"id":"b0dde2c9-92a4-4d86-a4fd-2a130944956f"},"application":{"displayName":null,"id":"75f31797-37c9-498e-8dc9-53c16a36afca"}}}}</t>
  </si>
  <si>
    <t>2026-09-30T02:45:50.9286581Z</t>
  </si>
  <si>
    <t>2026-10-13T09:03:09.9930185Z</t>
  </si>
  <si>
    <t>[https://steelcase-my.sharepoint.com/:p:/r/personal/gvirend1_steelcase_com/Documents/Mock%20Up%20Page.pptx?d=w7057f157252a43f287f9eb3796edc5aa&amp;csf=1&amp;web=1&amp;e=c4uClv](https://steelcase-my.sharepoint.com/:p:/r/personal/gvirend1_steelcase_com/Documents/Mock%20Up%20Page.pptx?d=w7057f157252a43f287f9eb3796edc5aa&amp;amp;csf=1&amp;amp;web=1&amp;amp;e=c4uClv)</t>
  </si>
  <si>
    <t>8584108705946125597P"</t>
  </si>
  <si>
    <t>2026-10-14T12:32:56.6577520Z</t>
  </si>
  <si>
    <t>HIchy-JP_EWjwiZYNoxudGQACq63</t>
  </si>
  <si>
    <t>To include the monthly announcements in Lead Time Village</t>
  </si>
  <si>
    <t>{"b0dde2c9-92a4-4d86-a4fd-2a130944956f":{"@odata.type":"#microsoft.graph.plannerAssignment","assignedDateTime":"2026-10-08T03:16:48.1711665Z","orderHint":"\"","assignedBy":{"user":{"displayName":null,"id":"83062e42-5f7d-4048-a2ed-52eb6f39463f"},"application":{"displayName":null,"id":"75f31797-37c9-498e-8dc9-53c16a36afca"}}}}</t>
  </si>
  <si>
    <t>2026-10-08T03:16:48.1712369Z</t>
  </si>
  <si>
    <t>83062e42-5f7d-4048-a2ed-52eb6f39463f</t>
  </si>
  <si>
    <t>2026-10-12T08:23:58.1239676Z</t>
  </si>
  <si>
    <t>Hi Aisah,_x000D_
_x000D_
We would like to include the monthly announcements in the Lead Time Village to improve visibility for all related stakeholders. https://www.steelcase.com/asia-en/village/pages/lead-times/_x000D_
You may refer to the attached PNG file as a reference for the proposed layout._x000D_
_x000D_
Please let us know if you have any suggestions for a more suitable design or if you have any questions before proceeding._x000D_
_x000D_
Thank you for your support.</t>
  </si>
  <si>
    <t>[{"resourceLink":"https://steelcase.sharepoint.com/sites/BrandcomDigitalTeamTaskRequest/_layouts/15/Doc.aspx?sourcedoc=%7B80C0E3DC-644E-406A-AD86-689D787094FA%7D&amp;file=Plant%20ShutDown%20%20Holiday%20Annoucement-%20M10-October%202026%20R1.docx&amp;action=default&amp;mobileredirect=true","value":{"@odata.type":"#microsoft.graph.plannerExternalReference","alias":"Plant ShutDown  Holiday Annoucement- M10-October 2026 R1.docx","type":"Word","previewPriority":"[%","lastModifiedDateTime":"2026-10-08T03:19:23.8400636Z","lastModifiedBy":{"user":{"displayName":null,"id":"83062e42-5f7d-4048-a2ed-52eb6f39463f"}}}},{"resourceLink":"https://steelcase.sharepoint.com/sites/BrandcomDigitalTeamTaskRequest/_layouts/15/Doc.aspx?sourcedoc=%7BE3B1D306-C541-450B-A48D-2E32AC85309D%7D&amp;file=Update%20on%20Transpacific%20Shipping%20Market%20Conditions-%20M10-October%202026.docx&amp;action=default&amp;mobileredirect=true","value":{"@odata.type":"#microsoft.graph.plannerExternalReference","alias":"Update on Transpacific Shipping Market Conditions- M10-October 2026.docx","type":"Word","previewPriority":"l1","lastModifiedDateTime":"2026-10-08T03:19:38.3434874Z","lastModifiedBy":{"user":{"displayName":null,"id":"83062e42-5f7d-4048-a2ed-52eb6f39463f"}}}},{"resourceLink":"https://steelcase.sharepoint.com/sites/BrandcomDigitalTeamTaskRequest/_layouts/15/Doc.aspx?sourcedoc=%7BDDD0CA08-C647-4D46-ABC0-DF13CD16E721%7D&amp;file=Monthly%20update%20on%20Production%20%20Leadtimes-%20M10-October%202026.docx&amp;action=default&amp;mobileredirect=true","value":{"@odata.type":"#microsoft.graph.plannerExternalReference","alias":"Monthly update on Production  Leadtimes- M10-October 2026.docx","type":"Word","previewPriority":"uL","lastModifiedDateTime":"2026-10-08T03:20:07.1525116Z","lastModifiedBy":{"user":{"displayName":null,"id":"83062e42-5f7d-4048-a2ed-52eb6f39463f"}}}},{"resourceLink":"https://steelcase.sharepoint.com/sites/BrandcomDigitalTeamTaskRequest/Shared%20Documents/Modify%20the%20LT%20Village%20layouts.png","value":{"@odata.type":"#microsoft.graph.plannerExternalReference","alias":"Modify the LT Village layouts.png","type":"Other","previewPriority":"8584101774708486236P%","lastModifiedDateTime":"2026-10-08T03:17:54.6485553Z","lastModifiedBy":{"user":{"displayName":null,"id":"83062e42-5f7d-4048-a2ed-52eb6f39463f"}}}}]</t>
  </si>
  <si>
    <t>8584101775375270877P9</t>
  </si>
  <si>
    <t>2026-10-14T12:32:59.0180431Z</t>
  </si>
  <si>
    <t>HkGPawKTzky72t8qfY8DnmQAKJUn</t>
  </si>
  <si>
    <t>Create redirect</t>
  </si>
  <si>
    <t>{"b0dde2c9-92a4-4d86-a4fd-2a130944956f":{"@odata.type":"#microsoft.graph.plannerAssignment","assignedDateTime":"2026-10-14T05:56:46.8148707Z","orderHint":"\"","assignedBy":{"user":{"displayName":null,"id":"129b8133-2f40-46f4-8391-49fec10f3174"},"application":{"displayName":null,"id":"75f31797-37c9-498e-8dc9-53c16a36afca"}}}}</t>
  </si>
  <si>
    <t>2026-10-12T07:21:09.4753754Z</t>
  </si>
  <si>
    <t>2026-10-12T07:48:06.3058115Z</t>
  </si>
  <si>
    <t>[{"id":"fb7d488291954ae9814e5c9a48aca534","value":{"@odata.type":"#microsoft.graph.plannerChecklistItem","isChecked":false,"title":"Series 2","orderHint":"8584098172668797997P@","lastModifiedDateTime":"2026-10-12T07:21:18.6159479Z","lastModifiedBy":{"user":{"displayName":null,"id":"b0dde2c9-92a4-4d86-a4fd-2a130944956f"}}}},{"id":"0899dc36e8994e92b02e1048c9525568","value":{"@odata.type":"#microsoft.graph.plannerChecklistItem","isChecked":false,"title":"Personality plus","orderHint":"858409817230","lastModifiedDateTime":"2026-10-12T07:21:23.7173195Z","lastModifiedBy":{"user":{"displayName":null,"id":"b0dde2c9-92a4-4d86-a4fd-2a130944956f"}}}}]</t>
  </si>
  <si>
    <t>8584098172761542889P6</t>
  </si>
  <si>
    <t>2026-10-14T12:33:01.2132535Z</t>
  </si>
  <si>
    <t>3-3Vuy0Pck2MOtnlUS5B4WQALJ9u</t>
  </si>
  <si>
    <t>Setup social post for the week</t>
  </si>
  <si>
    <t>{"d8b70168-3e9f-451c-898e-9a1da643aafe":{"@odata.type":"#microsoft.graph.plannerAssignment","assignedDateTime":"2026-10-12T02:24:36.416391Z","orderHint":"\"","assignedBy":{"user":{"displayName":null,"id":"d8b70168-3e9f-451c-898e-9a1da643aafe"},"application":{"displayName":null,"id":"75f31797-37c9-498e-8dc9-53c16a36afca"}}}}</t>
  </si>
  <si>
    <t>2026-10-12T02:24:36.4164486Z</t>
  </si>
  <si>
    <t>2026-10-12T07:23:07.4486135Z</t>
  </si>
  <si>
    <t>8584098350691109044P?</t>
  </si>
  <si>
    <t>2026-10-14T12:33:05.0875458Z</t>
  </si>
  <si>
    <t>08NByjMNHUuDuM7gnT-J3mQAJQf4</t>
  </si>
  <si>
    <t>Create PO for September LinkedIn spends</t>
  </si>
  <si>
    <t>{"d8b70168-3e9f-451c-898e-9a1da643aafe":{"@odata.type":"#microsoft.graph.plannerAssignment","assignedDateTime":"2026-10-12T02:05:14.8628998Z","orderHint":"\"","assignedBy":{"user":{"displayName":null,"id":"d8b70168-3e9f-451c-898e-9a1da643aafe"},"application":{"displayName":null,"id":"75f31797-37c9-498e-8dc9-53c16a36afca"}}}}</t>
  </si>
  <si>
    <t>2026-10-12T02:05:14.8629663Z</t>
  </si>
  <si>
    <t>2026-10-12T07:22:52.8077749Z</t>
  </si>
  <si>
    <t>8584098362306512470P=</t>
  </si>
  <si>
    <t>2026-10-14T12:33:07.5776066Z</t>
  </si>
  <si>
    <t>mSaj-JmQMkGP77Y5UWUN4WQAFG4a</t>
  </si>
  <si>
    <t>LinkedIn PO creation after invoice is in</t>
  </si>
  <si>
    <t>{"d8b70168-3e9f-451c-898e-9a1da643aafe":{"@odata.type":"#microsoft.graph.plannerAssignment","assignedDateTime":"2026-10-08T02:27:30.9123356Z","orderHint":"\"","assignedBy":{"user":{"displayName":null,"id":"d8b70168-3e9f-451c-898e-9a1da643aafe"},"application":{"displayName":null,"id":"75f31797-37c9-498e-8dc9-53c16a36afca"}}}}</t>
  </si>
  <si>
    <t>2026-10-08T02:27:30.9123954Z</t>
  </si>
  <si>
    <t>2026-10-12T02:24:54.61245Z</t>
  </si>
  <si>
    <t>8584101804946102014P&lt;</t>
  </si>
  <si>
    <t>2026-10-14T12:33:10.1056662Z</t>
  </si>
  <si>
    <t>6Z6GkD2jD0yQxfo9CZJpqGQAPiSn</t>
  </si>
  <si>
    <t>Reach out to Terre Nunez on LI invoices</t>
  </si>
  <si>
    <t>{"d8b70168-3e9f-451c-898e-9a1da643aafe":{"@odata.type":"#microsoft.graph.plannerAssignment","assignedDateTime":"2026-10-09T06:21:47.6321751Z","orderHint":"\"","assignedBy":{"user":{"displayName":null,"id":"d8b70168-3e9f-451c-898e-9a1da643aafe"},"application":{"displayName":null,"id":"75f31797-37c9-498e-8dc9-53c16a36afca"}}}}</t>
  </si>
  <si>
    <t>2026-10-09T06:21:47.6322401Z</t>
  </si>
  <si>
    <t>2026-10-12T02:24:16.6133182Z</t>
  </si>
  <si>
    <t>8584100800379242312PI</t>
  </si>
  <si>
    <t>2026-10-14T12:33:12.4930412Z</t>
  </si>
  <si>
    <t>5yfrD52cFku6PRIWcohRHGQAGN5D</t>
  </si>
  <si>
    <t>Prepare a simple PPT for Digital ads</t>
  </si>
  <si>
    <t>{"d8b70168-3e9f-451c-898e-9a1da643aafe":{"@odata.type":"#microsoft.graph.plannerAssignment","assignedDateTime":"2026-10-08T06:21:58.5226771Z","orderHint":"\"","assignedBy":{"user":{"displayName":null,"id":"d8b70168-3e9f-451c-898e-9a1da643aafe"},"application":{"displayName":null,"id":"75f31797-37c9-498e-8dc9-53c16a36afca"}}}}</t>
  </si>
  <si>
    <t>2026-10-08T06:21:58.522732Z</t>
  </si>
  <si>
    <t>2026-10-12T02:23:21.6795033Z</t>
  </si>
  <si>
    <t>8584101664271308679P4</t>
  </si>
  <si>
    <t>2026-10-14T12:33:15.6337239Z</t>
  </si>
  <si>
    <t>pp2z6VEuQUmPMUDrwMCRfGQAI_76</t>
  </si>
  <si>
    <t>Upload translated social assets (CN, JP, KR) to HPS Campaign Kit page</t>
  </si>
  <si>
    <t>{"b0dde2c9-92a4-4d86-a4fd-2a130944956f":{"@odata.type":"#microsoft.graph.plannerAssignment","assignedDateTime":"2026-10-01T02:25:26.8271686Z","orderHint":"\"","assignedBy":{"user":{"displayName":null,"id":"b0dde2c9-92a4-4d86-a4fd-2a130944956f"},"application":{"displayName":null,"id":"75f31797-37c9-498e-8dc9-53c16a36afca"}}}}</t>
  </si>
  <si>
    <t>2026-09-30T05:46:54.8244174Z</t>
  </si>
  <si>
    <t>2026-09-30T10:00:00Z</t>
  </si>
  <si>
    <t>2026-10-09T06:26:08.7994834Z</t>
  </si>
  <si>
    <t>Please upload the translated social assets to the High Performance Seating Campaign Kit page._x000D_
_x000D_
Assets (one set each for Chinese, Japanese and Korean):_x000D_
_x000D_
- Social Post 1: 2 translated videos (9:16 and 16:9) and translated captions_x000D_
- Social Posts 2-9: translated captions only. Use the same videos as the English posts._x000D_
- Cn &amp; Jp copy translations (HPS tab): [Master file_Translation_Request.xlsx](https://steelcase.sharepoint.com/:x:/r/sites/ONEMARKETINGAPAC/Shared%20Documents/OneMarketing%20Folder/Brand%20Comms/B.%20Projects/Translations/Master%20file_Translation_Request.xlsx?d=w2ef78ba3b2524401a380f694283b2be1&amp;amp;csf=1&amp;amp;web=1&amp;amp;e=QpvCPJ)_x000D_
- Cn videos: [Cn](https://steelcase.sharepoint.com/:f:/r/sites/ONEMARKETINGAPAC/Shared%20Documents/OneMarketing%20Folder/Brand%20Comms/B.%20Projects/High%20Performance%20Seating%20Campaign%202026/Translation/Cn?d=wf8d82640693841c38a9eee5aeb00604c&amp;amp;csf=1&amp;amp;web=1&amp;amp;e=jc4sah)_x000D_
- Jp videos: [Jp](https://steelcase.sharepoint.com/:f:/r/sites/ONEMARKETINGAPAC/Shared%20Documents/OneMarketing%20Folder/Brand%20Comms/B.%20Projects/High%20Performance%20Seating%20Campaign%202026/Translation/Jp?d=we748970f7c834e6b97cec350a423553e&amp;amp;csf=1&amp;amp;web=1&amp;amp;e=9acUeY)_x000D_
- Kr copy &amp; videos: [Kr](https://steelcase.sharepoint.com/:f:/r/sites/ONEMARKETINGAPAC/Shared%20Documents/OneMarketing%20Folder/Brand%20Comms/B.%20Projects/High%20Performance%20Seating%20Campaign%202026/Translation/Kr?d=wcf6363612e174460a88e01b0624dab8e&amp;amp;csf=1&amp;amp;web=1&amp;amp;e=MQYEiX)_x000D_
_x000D_
As we discussed yesterday:_x000D_
_x000D_
- To help recommend the best format for this section by this week, so that our visitor can easily find this_x000D_
- To help build it and make it live next week._x000D_
_x000D_
Also, please add the 16:9 English video for Social Post 1. File link: https://steelcase.widen.net/s/7pmhzjrfdl/26-0275419</t>
  </si>
  <si>
    <t>8584108597307199579P*</t>
  </si>
  <si>
    <t>2026-10-14T12:33:18.2440914Z</t>
  </si>
  <si>
    <t>miHghbSOHUqoA8hgPGCPrWQALFly</t>
  </si>
  <si>
    <t>Schedule eCommerce EDMs</t>
  </si>
  <si>
    <t>{"b0dde2c9-92a4-4d86-a4fd-2a130944956f":{"@odata.type":"#microsoft.graph.plannerAssignment","assignedDateTime":"2026-10-09T05:33:30.8619915Z","orderHint":"\"","assignedBy":{"user":{"displayName":null,"id":"b0dde2c9-92a4-4d86-a4fd-2a130944956f"},"application":{"displayName":null,"id":"75f31797-37c9-498e-8dc9-53c16a36afca"}}}}</t>
  </si>
  <si>
    <t>2026-10-09T05:33:30.8620545Z</t>
  </si>
  <si>
    <t>2026-10-09T05:33:47.8021768Z</t>
  </si>
  <si>
    <t>8584100829347170980P&gt;</t>
  </si>
  <si>
    <t>2026-10-14T12:33:21.1706938Z</t>
  </si>
  <si>
    <t>BjzuTCwKkUuyvpFTZgMC0mQADPsh</t>
  </si>
  <si>
    <t>QR Code - Mock Up Experience Kit</t>
  </si>
  <si>
    <t>{"b0dde2c9-92a4-4d86-a4fd-2a130944956f":{"@odata.type":"#microsoft.graph.plannerAssignment","assignedDateTime":"2026-10-09T03:05:15.5119939Z","orderHint":"\"","assignedBy":{"user":{"displayName":null,"id":"b0dde2c9-92a4-4d86-a4fd-2a130944956f"},"application":{"displayName":null,"id":"75f31797-37c9-498e-8dc9-53c16a36afca"}}}}</t>
  </si>
  <si>
    <t>2026-10-09T03:05:15.5120477Z</t>
  </si>
  <si>
    <t>2026-10-09T03:05:32.8327753Z</t>
  </si>
  <si>
    <t>8584100918300154262P)</t>
  </si>
  <si>
    <t>2026-10-14T12:33:23.9299712Z</t>
  </si>
  <si>
    <t>NTWZp_rCf0SmTzpTfcXw2mQAMgvf</t>
  </si>
  <si>
    <t>Check LinkedIn minimum spend for media plan</t>
  </si>
  <si>
    <t>{"129b8133-2f40-46f4-8391-49fec10f3174":{"@odata.type":"#microsoft.graph.plannerAssignment","assignedDateTime":"2026-10-09T11:29:08.1799403Z","orderHint":"\"","assignedBy":{"user":{"displayName":null,"id":"129b8133-2f40-46f4-8391-49fec10f3174"},"application":{"displayName":null,"id":"75f31797-37c9-498e-8dc9-53c16a36afca"}}},"d8b70168-3e9f-451c-898e-9a1da643aafe":{"@odata.type":"#microsoft.graph.plannerAssignment","assignedDateTime":"2026-10-08T01:22:23.7730837Z","orderHint":"\"","assignedBy":{"user":{"displayName":null,"id":"d8b70168-3e9f-451c-898e-9a1da643aafe"},"application":{"displayName":null,"id":"75f31797-37c9-498e-8dc9-53c16a36afca"}}}}</t>
  </si>
  <si>
    <t>2026-10-08T01:22:23.7731389Z</t>
  </si>
  <si>
    <t>2026-10-09T02:50:34.5222295Z</t>
  </si>
  <si>
    <t>8584101844022191776PH</t>
  </si>
  <si>
    <t>Adam Lau; Rebecca Teo</t>
  </si>
  <si>
    <t>2026-10-09; 2026-10-08</t>
  </si>
  <si>
    <t>2026-10-14T12:33:29.6644396Z</t>
  </si>
  <si>
    <t>avgDEXA0rU2sGjeUyHFtMWQACUld</t>
  </si>
  <si>
    <t>Creating quick draft for media plan before call</t>
  </si>
  <si>
    <t>{"129b8133-2f40-46f4-8391-49fec10f3174":{"@odata.type":"#microsoft.graph.plannerAssignment","assignedDateTime":"2026-10-09T11:28:15.1607814Z","orderHint":"\"","assignedBy":{"user":{"displayName":null,"id":"129b8133-2f40-46f4-8391-49fec10f3174"},"application":{"displayName":null,"id":"75f31797-37c9-498e-8dc9-53c16a36afca"}}},"d8b70168-3e9f-451c-898e-9a1da643aafe":{"@odata.type":"#microsoft.graph.plannerAssignment","assignedDateTime":"2026-10-08T02:22:14.3276523Z","orderHint":"\"","assignedBy":{"user":{"displayName":null,"id":"d8b70168-3e9f-451c-898e-9a1da643aafe"},"application":{"displayName":null,"id":"75f31797-37c9-498e-8dc9-53c16a36afca"}}}}</t>
  </si>
  <si>
    <t>2026-10-08T02:22:14.3277113Z</t>
  </si>
  <si>
    <t>2026-10-09T02:46:33.6607874Z</t>
  </si>
  <si>
    <t>[{"id":"204a1d77a13b4eb29a257c1f767f1643","value":{"@odata.type":"#microsoft.graph.plannerChecklistItem","isChecked":false,"title":"Track: Michelle approval Oct 15, files Oct 16-17, live Oct 21-22","orderHint":"8584100615[#","lastModifiedDateTime":"2026-10-09T11:28:27.8626917Z","lastModifiedBy":{"user":{"displayName":null,"id":"129b8133-2f40-46f4-8391-49fec10f3174"}}}},{"id":"909381f68c824310a2ae7b1b7be2855a","value":{"@odata.type":"#microsoft.graph.plannerChecklistItem","isChecked":false,"title":"Meeting cancelled — confirm plan over email","orderHint":"8584100616424865319P\"","lastModifiedDateTime":"2026-10-09T11:28:23.008855Z","lastModifiedBy":{"user":{"displayName":null,"id":"129b8133-2f40-46f4-8391-49fec10f3174"}}}}]</t>
  </si>
  <si>
    <t>8584101808112006160PG</t>
  </si>
  <si>
    <t>2026-10-14T12:33:31.8535071Z</t>
  </si>
  <si>
    <t>Z8eNJLmk4Uyh4caBeaQ91mQAOeef</t>
  </si>
  <si>
    <t>Impact Report 2025 Comms</t>
  </si>
  <si>
    <t>{"b0dde2c9-92a4-4d86-a4fd-2a130944956f":{"@odata.type":"#microsoft.graph.plannerAssignment","assignedDateTime":"2026-10-07T05:37:39.4936225Z","orderHint":"\"","assignedBy":{"user":{"displayName":null,"id":"9395807e-67f2-4b2f-870f-75bbbd3c6bf2"},"application":{"displayName":null,"id":"75f31797-37c9-498e-8dc9-53c16a36afca"}}}}</t>
  </si>
  <si>
    <t>2026-10-07T05:37:39.4936795Z</t>
  </si>
  <si>
    <t>2026-10-07T10:00:00Z</t>
  </si>
  <si>
    <t>2026-10-09T01:43:57.385621Z</t>
  </si>
  <si>
    <t>{"category6":true}</t>
  </si>
  <si>
    <t>[{"id":"3136a0bda6634c0b9904eca0fe4b66e3","value":{"@odata.type":"#microsoft.graph.plannerChecklistItem","isChecked":false,"title":"AP Announcement","orderHint":"8584102554645762506P&gt;","lastModifiedDateTime":"2026-10-07T05:38:00.9202547Z","lastModifiedBy":{"user":{"displayName":null,"id":"9395807e-67f2-4b2f-870f-75bbbd3c6bf2"}}}}]</t>
  </si>
  <si>
    <t>[{"resourceLink":"https://steelcase.sharepoint.com/sites/BrandcomDigitalTeamTaskRequest/_layouts/15/Doc.aspx?sourcedoc=%7B67DAD2F5-6A4D-49EB-9C30-0132CD5F268F%7D&amp;file=Impact%20Report%20-%20APAC%20%2B%20Dealer%20Leader%20News.docx&amp;action=default&amp;mobileredirect=true","value":{"@odata.type":"#microsoft.graph.plannerExternalReference","alias":"Impact Report - APAC + Dealer Leader News.docx","type":"Word","previewPriority":"8584102552653558272PK","lastModifiedDateTime":"2026-10-07T05:41:20.1399538Z","lastModifiedBy":{"user":{"displayName":null,"id":"9395807e-67f2-4b2f-870f-75bbbd3c6bf2"}}}}]</t>
  </si>
  <si>
    <t>8584102554860814984PF</t>
  </si>
  <si>
    <t>Email-APAnnouncement</t>
  </si>
  <si>
    <t>2026-10-14T12:33:34.0767581Z</t>
  </si>
  <si>
    <t>RV709phnUUyrHhJvXA7TFGQAIlUY</t>
  </si>
  <si>
    <t>Presentation to Sales Deck</t>
  </si>
  <si>
    <t>{"129b8133-2f40-46f4-8391-49fec10f3174":{"@odata.type":"#microsoft.graph.plannerAssignment","assignedDateTime":"2026-10-08T13:08:54.9595706Z","orderHint":"\"","assignedBy":{"user":{"displayName":null,"id":"129b8133-2f40-46f4-8391-49fec10f3174"},"application":{"displayName":null,"id":"75f31797-37c9-498e-8dc9-53c16a36afca"}}}}</t>
  </si>
  <si>
    <t>2026-09-15T06:04:10.4277188Z</t>
  </si>
  <si>
    <t>2026-10-08T13:30:42.9321938Z</t>
  </si>
  <si>
    <t>{"category21":true}</t>
  </si>
  <si>
    <t>connect to Gus (Ai Lead calling) Deck. Getting Sales-buy-in. Lead qualification. Deck to present to sales team_x000D_
_x000D_
NOTE: Sales deck updates (task complete). Filed with the team.</t>
  </si>
  <si>
    <t>[{"id":"b3d578ed65574954bb3ba9d21befe8bc","value":{"@odata.type":"#microsoft.graph.plannerChecklistItem","isChecked":true,"title":"download and recompile on PPT","orderHint":"8584116344756038338P;","lastModifiedDateTime":"2026-10-09T04:56:41.0049272Z","lastModifiedBy":{"user":{"displayName":null,"id":"129b8133-2f40-46f4-8391-49fec10f3174"}}}},{"id":"42a5c8dfa9814fd78c349640d2b93358","value":{"@odata.type":"#microsoft.graph.plannerChecklistItem","isChecked":true,"title":"Add the excel (sales routing)","orderHint":"8584116343\\5","lastModifiedDateTime":"2026-10-09T04:56:47.5580676Z","lastModifiedBy":{"user":{"displayName":null,"id":"129b8133-2f40-46f4-8391-49fec10f3174"}}}}]</t>
  </si>
  <si>
    <t>[{"resourceLink":"https://steelcase-my.sharepoint.com/:p:/r/personal/alau2_steelcase_com/Documents/APAC_Lead_Routing_HubSpot_to_Salesforce.pptx?d=wda7bd11ff9634188bfe0eae40705cb1f&amp;csf=1&amp;web=1&amp;e=YfosaU","value":{"@odata.type":"#microsoft.graph.plannerExternalReference","alias":"HS &gt; SF deck","type":"PowerPoint","previewPriority":"8584110352XG","lastModifiedDateTime":"2026-09-28T05:01:14.4285749Z","lastModifiedBy":{"user":{"displayName":null,"id":"129b8133-2f40-46f4-8391-49fec10f3174"}}}}]</t>
  </si>
  <si>
    <t>8584121546950890423P4</t>
  </si>
  <si>
    <t>Leadgen</t>
  </si>
  <si>
    <t>2026-10-14T12:33:36.7204385Z</t>
  </si>
  <si>
    <t>DWvhU28erUy_yb_KjYyRG2QAH2Z8</t>
  </si>
  <si>
    <t>Create a Media Planning template</t>
  </si>
  <si>
    <t>{"129b8133-2f40-46f4-8391-49fec10f3174":{"@odata.type":"#microsoft.graph.plannerAssignment","assignedDateTime":"2026-10-08T13:10:23.6215399Z","orderHint":"\"","assignedBy":{"user":{"displayName":null,"id":"129b8133-2f40-46f4-8391-49fec10f3174"},"application":{"displayName":null,"id":"75f31797-37c9-498e-8dc9-53c16a36afca"}}}}</t>
  </si>
  <si>
    <t>2026-09-15T06:08:04.2577814Z</t>
  </si>
  <si>
    <t>2026-09-16T10:00:00Z</t>
  </si>
  <si>
    <t>2026-10-08T13:30:42.1216868Z</t>
  </si>
  <si>
    <t>{"category11":true,"category23":true}</t>
  </si>
  <si>
    <t>NOTE: Standard media plan template — markets, channels, budgets, KPI targets, pacing tracker. Build in Excel/Sheets with formulas; test against the current plan.</t>
  </si>
  <si>
    <t>[{"id":"f8369ab59e4e4ee18e762c9da35822a8","value":{"@odata.type":"#microsoft.graph.plannerChecklistItem","isChecked":true,"title":"Test with the current media plan data","orderHint":"85841008679O","lastModifiedDateTime":"2026-10-09T04:55:36.4294336Z","lastModifiedBy":{"user":{"displayName":null,"id":"129b8133-2f40-46f4-8391-49fec10f3174"}}}},{"id":"3e5424bcead74438a3e0fb56aa07812e","value":{"@odata.type":"#microsoft.graph.plannerChecklistItem","isChecked":true,"title":"Build it in Excel/Sheets with formulas","orderHint":"8584100867&gt;L","lastModifiedDateTime":"2026-10-09T04:55:35.6658801Z","lastModifiedBy":{"user":{"displayName":null,"id":"129b8133-2f40-46f4-8391-49fec10f3174"}}}},{"id":"c82b0bddad534f56aeb60a5725869616","value":{"@odata.type":"#microsoft.graph.plannerChecklistItem","isChecked":true,"title":"Share with the team as the standard","orderHint":"858410086766","lastModifiedDateTime":"2026-10-09T04:55:37.1929429Z","lastModifiedBy":{"user":{"displayName":null,"id":"129b8133-2f40-46f4-8391-49fec10f3174"}}}},{"id":"c9593eb265a644ac9b59eb5a9bfa2773","value":{"@odata.type":"#microsoft.graph.plannerChecklistItem","isChecked":true,"title":"Include the KPI targets and pacing tracker","orderHint":"8584100867GK","lastModifiedDateTime":"2026-10-09T04:55:34.9265741Z","lastModifiedBy":{"user":{"displayName":null,"id":"129b8133-2f40-46f4-8391-49fec10f3174"}}}},{"id":"dddea33fb7b44eab8e19cbda61914619","value":{"@odata.type":"#microsoft.graph.plannerChecklistItem","isChecked":true,"title":"Define the template sections — markets, channels, budgets, KPIs","orderHint":"8584100868243689066P0","lastModifiedDateTime":"2026-10-09T04:55:33.4271388Z","lastModifiedBy":{"user":{"displayName":null,"id":"129b8133-2f40-46f4-8391-49fec10f3174"}}}},{"id":"c6107ec06ff547c1b39c661c9337ab13","value":{"@odata.type":"#microsoft.graph.plannerChecklistItem","isChecked":true,"title":"Add the budget allocation framework by market","orderHint":"8584100867Z:","lastModifiedDateTime":"2026-10-09T04:55:34.1422573Z","lastModifiedBy":{"user":{"displayName":null,"id":"129b8133-2f40-46f4-8391-49fec10f3174"}}}}]</t>
  </si>
  <si>
    <t>8584121544612745870PL</t>
  </si>
  <si>
    <t>ADS- Planning, * Project</t>
  </si>
  <si>
    <t>2026-10-14T12:33:40.6978122Z</t>
  </si>
  <si>
    <t>s30OqpDkO0Soz6yzOrzfwmQAB0wA</t>
  </si>
  <si>
    <t>budget sheet - Are everybody confirm spending according to plan</t>
  </si>
  <si>
    <t>{"129b8133-2f40-46f4-8391-49fec10f3174":{"@odata.type":"#microsoft.graph.plannerAssignment","assignedDateTime":"2026-10-08T13:12:57.3237854Z","orderHint":"\"","assignedBy":{"user":{"displayName":null,"id":"129b8133-2f40-46f4-8391-49fec10f3174"},"application":{"displayName":null,"id":"75f31797-37c9-498e-8dc9-53c16a36afca"}}}}</t>
  </si>
  <si>
    <t>2026-09-21T09:44:56.9832501Z</t>
  </si>
  <si>
    <t>2026-09-24T10:00:00Z</t>
  </si>
  <si>
    <t>2026-10-08T13:30:41.6945185Z</t>
  </si>
  <si>
    <t>NOTE: Monthly spend-vs-plan check by market. Flag over/under-spend, confirm with market owners (Danni, Joey, Rebecca, Ivanka), report to Michelle.</t>
  </si>
  <si>
    <t>[{"id":"b62e86c63895434587480ad33b31dbc7","value":{"@odata.type":"#microsoft.graph.plannerChecklistItem","isChecked":true,"title":"Update the tracker and report to Michelle","orderHint":"85841008671X.","lastModifiedDateTime":"2026-10-09T04:55:52.2737286Z","lastModifiedBy":{"user":{"displayName":null,"id":"129b8133-2f40-46f4-8391-49fec10f3174"}}}},{"id":"5ccfd4da79a142d689d720030d00e7be","value":{"@odata.type":"#microsoft.graph.plannerChecklistItem","isChecked":true,"title":"Compare actuals vs the media plan budget","orderHint":"85841008675=","lastModifiedDateTime":"2026-10-09T04:55:50.1779772Z","lastModifiedBy":{"user":{"displayName":null,"id":"129b8133-2f40-46f4-8391-49fec10f3174"}}}},{"id":"f529baffd3384d12b3c2a9fe1b973135","value":{"@odata.type":"#microsoft.graph.plannerChecklistItem","isChecked":true,"title":"Confirm with each market owner (Danni, Joey, Rebecca, Ivanka)","orderHint":"858410086722","lastModifiedDateTime":"2026-10-09T04:55:51.6016767Z","lastModifiedBy":{"user":{"displayName":null,"id":"129b8133-2f40-46f4-8391-49fec10f3174"}}}},{"id":"621532510e1a45ac9edab992cba3ded3","value":{"@odata.type":"#microsoft.graph.plannerChecklistItem","isChecked":true,"title":"Flag over/under-spend by market and channel","orderHint":"85841008673D","lastModifiedDateTime":"2026-10-09T04:55:50.8433752Z","lastModifiedBy":{"user":{"displayName":null,"id":"129b8133-2f40-46f4-8391-49fec10f3174"}}}},{"id":"4037e1b7400d4f3089a787dfe61d6af3","value":{"@odata.type":"#microsoft.graph.plannerChecklistItem","isChecked":true,"title":"Pull actual spend by market from the ad platforms","orderHint":"8584100867882767283PK","lastModifiedDateTime":"2026-10-09T04:55:49.428279Z","lastModifiedBy":{"user":{"displayName":null,"id":"129b8133-2f40-46f4-8391-49fec10f3174"}}}}]</t>
  </si>
  <si>
    <t>8584116230485580608PJ</t>
  </si>
  <si>
    <t>2026-10-14T12:33:44.7463914Z</t>
  </si>
  <si>
    <t>B7d_DawnlUWTx5mkf1mtN2QAGfdr</t>
  </si>
  <si>
    <t>Engineer Announcement</t>
  </si>
  <si>
    <t>{"b0dde2c9-92a4-4d86-a4fd-2a130944956f":{"@odata.type":"#microsoft.graph.plannerAssignment","assignedDateTime":"2026-10-08T07:15:17.2269064Z","orderHint":"\"","assignedBy":{"user":{"displayName":null,"id":"b0dde2c9-92a4-4d86-a4fd-2a130944956f"},"application":{"displayName":null,"id":"75f31797-37c9-498e-8dc9-53c16a36afca"}}}}</t>
  </si>
  <si>
    <t>2026-10-08T07:15:12.5544328Z</t>
  </si>
  <si>
    <t>2026-10-08T09:36:53.2122006Z</t>
  </si>
  <si>
    <t>8584101632329630668P=</t>
  </si>
  <si>
    <t>2026-10-14T12:33:47.4315814Z</t>
  </si>
  <si>
    <t>m-P8J6jUH0uQlcbBkMtabGQAIWhk</t>
  </si>
  <si>
    <t>Update sales PPT - Work Better</t>
  </si>
  <si>
    <t>{"b0dde2c9-92a4-4d86-a4fd-2a130944956f":{"@odata.type":"#microsoft.graph.plannerAssignment","assignedDateTime":"2026-10-05T06:48:22.5536718Z","orderHint":"\"","assignedBy":{"user":{"displayName":null,"id":"b0dde2c9-92a4-4d86-a4fd-2a130944956f"},"application":{"displayName":null,"id":"75f31797-37c9-498e-8dc9-53c16a36afca"}}}}</t>
  </si>
  <si>
    <t>2026-10-05T06:48:22.5537292Z</t>
  </si>
  <si>
    <t>2026-10-08T09:18:04.3979609Z</t>
  </si>
  <si>
    <t>8584104240431303701P9</t>
  </si>
  <si>
    <t>2026-10-14T12:33:51.3908288Z</t>
  </si>
  <si>
    <t>gmhykCfrLkuCjABKj2cx4WQAONX5</t>
  </si>
  <si>
    <t>Upload translated WorkLife activation assets (CN, JP, KR) to Migration SE Campaign Kit page</t>
  </si>
  <si>
    <t>{"b0dde2c9-92a4-4d86-a4fd-2a130944956f":{"@odata.type":"#microsoft.graph.plannerAssignment","assignedDateTime":"2026-09-30T02:45:32.7586426Z","orderHint":"\"","assignedBy":{"user":{"displayName":null,"id":"b0dde2c9-92a4-4d86-a4fd-2a130944956f"},"application":{"displayName":null,"id":"75f31797-37c9-498e-8dc9-53c16a36afca"}}}}</t>
  </si>
  <si>
    <t>2026-09-30T02:43:49.2006506Z</t>
  </si>
  <si>
    <t>2026-10-08T07:54:28.9479716Z</t>
  </si>
  <si>
    <t>Please upload the translated WorkLife activation assets to the Migration SE Campaign Kit page. These assets are in addition to the English assets that are already on the page._x000D_
_x000D_
Assets (one set each for Chinese, Japanese and Korean):_x000D_
_x000D_
- WL A5 postcard: digital copy, print copy, artwork file_x000D_
- WL A3 postcard: digital copy, print copy, artwork file_x000D_
_x000D_
Please also recommend the best layout and placement for this section so that visitors can find it easily._x000D_
[Translations](https://steelcase.sharepoint.com/:f:/r/sites/ONEMARKETINGAPAC/Shared%20Documents/OneMarketing%20Folder/Brand%20Comms/B.%20Projects/Migration%20SE%20Collection/Translations?d=wbd8e9aaf80e545188821cfe2649301c2&amp;amp;csf=1&amp;amp;web=1&amp;amp;e=8f1biz)</t>
  </si>
  <si>
    <t>8584108707163160908P6</t>
  </si>
  <si>
    <t>2026-10-14T12:33:54.7646971Z</t>
  </si>
  <si>
    <t>BqmHqCbGCEG7edCXES4G-WQAEbIG</t>
  </si>
  <si>
    <t>Create Segments for Learning on Hubspot for nurture series</t>
  </si>
  <si>
    <t>{"d8b70168-3e9f-451c-898e-9a1da643aafe":{"@odata.type":"#microsoft.graph.plannerAssignment","assignedDateTime":"2026-10-07T06:50:37.1677161Z","orderHint":"\"","assignedBy":{"user":{"displayName":null,"id":"d8b70168-3e9f-451c-898e-9a1da643aafe"},"application":{"displayName":null,"id":"75f31797-37c9-498e-8dc9-53c16a36afca"}}}}</t>
  </si>
  <si>
    <t>2026-10-07T06:11:06.6565071Z</t>
  </si>
  <si>
    <t>2026-10-08T07:26:58.8630076Z</t>
  </si>
  <si>
    <t>8584102534789372856P8</t>
  </si>
  <si>
    <t>2026-10-14T12:33:56.9199233Z</t>
  </si>
  <si>
    <t>IZ7DX3qlUU-4VxFrAZfMTWQAFsR7</t>
  </si>
  <si>
    <t>QR Code - Gesture and High Performance Seating Resources</t>
  </si>
  <si>
    <t>{"b0dde2c9-92a4-4d86-a4fd-2a130944956f":{"@odata.type":"#microsoft.graph.plannerAssignment","assignedDateTime":"2026-10-05T09:05:55.100517Z","orderHint":"\"","assignedBy":{"user":{"displayName":null,"id":"4bbc4332-9298-408c-a956-8712ef3a21cc"},"application":{"displayName":null,"id":"75f31797-37c9-498e-8dc9-53c16a36afca"}}}}</t>
  </si>
  <si>
    <t>2026-10-05T09:05:55.1005772Z</t>
  </si>
  <si>
    <t>4bbc4332-9298-408c-a956-8712ef3a21cc</t>
  </si>
  <si>
    <t>2026-10-08T07:22:40.7015408Z</t>
  </si>
  <si>
    <t>Create for Dealer Conference.</t>
  </si>
  <si>
    <t>8584104157904163031PD</t>
  </si>
  <si>
    <t>2026-10-14T12:34:09.8564515Z</t>
  </si>
  <si>
    <t>waYst9GvmEmtvfQkkSQP6WQANpWq</t>
  </si>
  <si>
    <t>Schedule social posting for the week</t>
  </si>
  <si>
    <t>{"d8b70168-3e9f-451c-898e-9a1da643aafe":{"@odata.type":"#microsoft.graph.plannerAssignment","assignedDateTime":"2026-10-07T02:55:28.1853473Z","orderHint":"\"","assignedBy":{"user":{"displayName":null,"id":"d8b70168-3e9f-451c-898e-9a1da643aafe"},"application":{"displayName":null,"id":"75f31797-37c9-498e-8dc9-53c16a36afca"}}}}</t>
  </si>
  <si>
    <t>2026-10-07T02:55:28.1854067Z</t>
  </si>
  <si>
    <t>2026-10-08T06:11:31.8362282Z</t>
  </si>
  <si>
    <t>8584102652174433955P&gt;</t>
  </si>
  <si>
    <t>2026-10-14T12:34:12.1285374Z</t>
  </si>
  <si>
    <t>u734iKBrHEyIRSoQv53MHWQAMxcE</t>
  </si>
  <si>
    <t>Impact Report 2026 Web Updates</t>
  </si>
  <si>
    <t>{"b0dde2c9-92a4-4d86-a4fd-2a130944956f":{"@odata.type":"#microsoft.graph.plannerAssignment","assignedDateTime":"2026-10-07T08:09:07.6389932Z","orderHint":"\"","assignedBy":{"user":{"displayName":null,"id":"b0dde2c9-92a4-4d86-a4fd-2a130944956f"},"application":{"displayName":null,"id":"75f31797-37c9-498e-8dc9-53c16a36afca"}}}}</t>
  </si>
  <si>
    <t>2026-10-07T08:08:56.6959243Z</t>
  </si>
  <si>
    <t>2026-10-08T00:31:30.3450896Z</t>
  </si>
  <si>
    <t>[https://steelcase.sharepoint.com/:w:/s/PeoplePlanetComms/IQBN1yVofBE2RLmPJWZI9LYEAbIl-3mqxuI-fghldpCxteY?e=6RiXel&amp;CID=11BF6799-25B4-DA42-99F8-48C46EF940F3](https://steelcase.sharepoint.com/:w:/s/PeoplePlanetComms/IQBN1yVofBE2RLmPJWZI9LYEAbIl-3mqxuI-fghldpCxteY?e=6RiXel&amp;amp;CID=11BF6799-25B4-DA42-99F8-48C46EF940F3)</t>
  </si>
  <si>
    <t>[{"id":"d2cdc45903a840e0b2ef570a3704b650","value":{"@odata.type":"#microsoft.graph.plannerChecklistItem","isChecked":true,"title":"Update FOSTER INCLUSION","orderHint":"858410234:H","lastModifiedDateTime":"2026-10-08T00:25:54.0143162Z","lastModifiedBy":{"user":{"displayName":null,"id":"b0dde2c9-92a4-4d86-a4fd-2a130944956f"}}}},{"id":"17e97520f28b46149c26465bc3b25432","value":{"@odata.type":"#microsoft.graph.plannerChecklistItem","isChecked":true,"title":"Update REDUCE OUR CARBON FOOTPRINT","orderHint":"858410234JH","lastModifiedDateTime":"2026-10-08T00:14:39.886343Z","lastModifiedBy":{"user":{"displayName":null,"id":"b0dde2c9-92a4-4d86-a4fd-2a130944956f"}}}},{"id":"a710108b69054f8ca8091b519301fe6d","value":{"@odata.type":"#microsoft.graph.plannerChecklistItem","isChecked":true,"title":"Update DESIGN FOR CIRCULARITY","orderHint":"858410234A$","lastModifiedDateTime":"2026-10-08T00:20:15.742809Z","lastModifiedBy":{"user":{"displayName":null,"id":"b0dde2c9-92a4-4d86-a4fd-2a130944956f"}}}},{"id":"58c840e8e0e4440a96983c529a4be6f2","value":{"@odata.type":"#microsoft.graph.plannerChecklistItem","isChecked":true,"title":"Update SUSTAINABLE PRODUCTS","orderHint":"8584102348\\@","lastModifiedDateTime":"2026-10-08T00:31:23.655257Z","lastModifiedBy":{"user":{"displayName":null,"id":"b0dde2c9-92a4-4d86-a4fd-2a130944956f"}}}},{"id":"f72498ab8e0045b0b0be5807d7d97653","value":{"@odata.type":"#microsoft.graph.plannerChecklistItem","isChecked":true,"title":"Update CHOOSE + USE MATERIALS RESPONSIBLY","orderHint":"858410234=4","lastModifiedDateTime":"2026-10-08T00:21:48.0836045Z","lastModifiedBy":{"user":{"displayName":null,"id":"b0dde2c9-92a4-4d86-a4fd-2a130944956f"}}}},{"id":"30747d782e8d4d7b8ba9a48f753fcdb7","value":{"@odata.type":"#microsoft.graph.plannerChecklistItem","isChecked":true,"title":"Update Data Center","orderHint":"8584102350620201919P;","lastModifiedDateTime":"2026-10-08T00:07:52.9280072Z","lastModifiedBy":{"user":{"displayName":null,"id":"b0dde2c9-92a4-4d86-a4fd-2a130944956f"}}}},{"id":"6597ec97ea5a4b81a7ed0222d74795d5","value":{"@odata.type":"#microsoft.graph.plannerChecklistItem","isChecked":true,"title":"Update ACT WITH INTEGRITY","orderHint":"8584102349XC","lastModifiedDateTime":"2026-10-08T00:29:43.8486971Z","lastModifiedBy":{"user":{"displayName":null,"id":"b0dde2c9-92a4-4d86-a4fd-2a130944956f"}}}},{"id":"49555beedd27485796a209a3393a6753","value":{"@odata.type":"#microsoft.graph.plannerChecklistItem","isChecked":true,"title":"Update PEOPLE + PLANET LANDER","orderHint":"858410234\\L","lastModifiedDateTime":"2026-10-08T00:11:01.3336637Z","lastModifiedBy":{"user":{"displayName":null,"id":"b0dde2c9-92a4-4d86-a4fd-2a130944956f"}}}},{"id":"8df925da8bdf4886b8d7814cd4807d36","value":{"@odata.type":"#microsoft.graph.plannerChecklistItem","isChecked":true,"title":"Update HELPS COMMUNITIES THRIVE","orderHint":"858410234;F","lastModifiedDateTime":"2026-10-08T00:24:13.6491606Z","lastModifiedBy":{"user":{"displayName":null,"id":"b0dde2c9-92a4-4d86-a4fd-2a130944956f"}}}}]</t>
  </si>
  <si>
    <t>8584102464088232931PO</t>
  </si>
  <si>
    <t>2026-10-14T12:34:15.3281709Z</t>
  </si>
  <si>
    <t>7xL5TnIKu0uCoSnHC1ahkmQAOowe</t>
  </si>
  <si>
    <t>India BIS Announcement</t>
  </si>
  <si>
    <t>{"b0dde2c9-92a4-4d86-a4fd-2a130944956f":{"@odata.type":"#microsoft.graph.plannerAssignment","assignedDateTime":"2026-10-07T13:05:32.4909179Z","orderHint":"\"","assignedBy":{"user":{"displayName":null,"id":"b0dde2c9-92a4-4d86-a4fd-2a130944956f"},"application":{"displayName":null,"id":"75f31797-37c9-498e-8dc9-53c16a36afca"}}}}</t>
  </si>
  <si>
    <t>2026-10-07T13:05:32.4909812Z</t>
  </si>
  <si>
    <t>2026-10-07T13:05:44.7783651Z</t>
  </si>
  <si>
    <t>8584102286131730573P2</t>
  </si>
  <si>
    <t>2026-10-14T12:34:17.6019438Z</t>
  </si>
  <si>
    <t>5ftjnlh23UyiWayOpSDgUmQADNWi</t>
  </si>
  <si>
    <t>Dealer Conference Email</t>
  </si>
  <si>
    <t>{"b0dde2c9-92a4-4d86-a4fd-2a130944956f":{"@odata.type":"#microsoft.graph.plannerAssignment","assignedDateTime":"2026-10-07T02:21:23.7351938Z","orderHint":"\"","assignedBy":{"user":{"displayName":null,"id":"b0dde2c9-92a4-4d86-a4fd-2a130944956f"},"application":{"displayName":null,"id":"75f31797-37c9-498e-8dc9-53c16a36afca"}}}}</t>
  </si>
  <si>
    <t>2026-10-07T02:21:23.735255Z</t>
  </si>
  <si>
    <t>2026-10-07T05:00:10.2929566Z</t>
  </si>
  <si>
    <t>8584102672619284044P:</t>
  </si>
  <si>
    <t>2026-10-14T12:34:20.4330537Z</t>
  </si>
  <si>
    <t>8T2xCHtA9ES2m7m0VQiEU2QADfNj</t>
  </si>
  <si>
    <t>Product page data Aug–Sep 2026 – MSE, Karman, Be My Guest, HPS</t>
  </si>
  <si>
    <t>{"b0dde2c9-92a4-4d86-a4fd-2a130944956f":{"@odata.type":"#microsoft.graph.plannerAssignment","assignedDateTime":"2026-10-05T01:12:48.3867562Z","orderHint":"\"","assignedBy":{"user":{"displayName":null,"id":"b0dde2c9-92a4-4d86-a4fd-2a130944956f"},"application":{"displayName":null,"id":"75f31797-37c9-498e-8dc9-53c16a36afca"}}}}</t>
  </si>
  <si>
    <t>2026-10-05T01:01:05.2320612Z</t>
  </si>
  <si>
    <t>2026-10-06T10:00:00Z</t>
  </si>
  <si>
    <t>2026-10-06T08:16:46.063556Z</t>
  </si>
  <si>
    <t>{"category13":true}</t>
  </si>
  <si>
    <t>Hi team,_x000D_
_x000D_
Please pull the data below for August and September 2026 for these products:_x000D_
- Migration SE Collection_x000D_
- Steelcase Karman_x000D_
- Be My Guest_x000D_
-HPS_x000D_
_x000D_
Data needed:_x000D_
- Page views (internal sales vs external)_x000D_
- Page unique visitors_x000D_
- A&amp;D file downloads (internal vs external)_x000D_
- Brochure downloads (internal vs external)_x000D_
- One pager downloads_x000D_
- Sales presentation downloads_x000D_
- Image downloads_x000D_
- Campaign kit views (internal vs dealers)_x000D_
- Campaign kit downloads (internal vs dealers)_x000D_
_x000D_
I highlighted the table in the excel for reference. Appreciate if you can share it by tomorrow, Tuesday 6 October?_x000D_
[Collaterals analysis.xlsx](https://steelcase.sharepoint.com/:x:/r/sites/ONEMARKETINGAPAC/Shared%20Documents/OneMarketing%20Folder/Brand%20Comms/A.%20Launch/1.%20Content%20%26%20Creative/Brochures%20and%20Documents/Collaterals%20analysis.xlsx?d=w13afcf58cc5047f2a82c8554d8cf88a3&amp;amp;csf=1&amp;amp;web=1&amp;amp;e=zDMN4o)</t>
  </si>
  <si>
    <t>8584104448804073189P,</t>
  </si>
  <si>
    <t>Report</t>
  </si>
  <si>
    <t>2026-10-14T12:34:22.9371716Z</t>
  </si>
  <si>
    <t>pDG3Z3mAQEunRpbulbkaMWQAD_gX</t>
  </si>
  <si>
    <t>Updating EDM data August &amp; September</t>
  </si>
  <si>
    <t>{"d8b70168-3e9f-451c-898e-9a1da643aafe":{"@odata.type":"#microsoft.graph.plannerAssignment","assignedDateTime":"2026-10-06T06:28:35.1752974Z","orderHint":"\"","assignedBy":{"user":{"displayName":null,"id":"d8b70168-3e9f-451c-898e-9a1da643aafe"},"application":{"displayName":null,"id":"75f31797-37c9-498e-8dc9-53c16a36afca"}}}}</t>
  </si>
  <si>
    <t>2026-10-06T06:28:35.175355Z</t>
  </si>
  <si>
    <t>2026-10-06T07:13:08.0150632Z</t>
  </si>
  <si>
    <t>8584103388303990653P=</t>
  </si>
  <si>
    <t>2026-10-14T12:34:26.0112269Z</t>
  </si>
  <si>
    <t>qjbQqFW3rkqU_Y71aNLN0GQAMpk1</t>
  </si>
  <si>
    <t>Revise Media Plan</t>
  </si>
  <si>
    <t>{"129b8133-2f40-46f4-8391-49fec10f3174":{"@odata.type":"#microsoft.graph.plannerAssignment","assignedDateTime":"2026-10-09T11:28:51.8094106Z","orderHint":"\"","assignedBy":{"user":{"displayName":null,"id":"129b8133-2f40-46f4-8391-49fec10f3174"},"application":{"displayName":null,"id":"75f31797-37c9-498e-8dc9-53c16a36afca"}}},"d8b70168-3e9f-451c-898e-9a1da643aafe":{"@odata.type":"#microsoft.graph.plannerAssignment","assignedDateTime":"2026-09-30T02:20:25.2698821Z","orderHint":"\"","assignedBy":{"user":{"displayName":null,"id":"d8b70168-3e9f-451c-898e-9a1da643aafe"},"application":{"displayName":null,"id":"75f31797-37c9-498e-8dc9-53c16a36afca"}}}}</t>
  </si>
  <si>
    <t>2026-09-30T02:20:25.2699371Z</t>
  </si>
  <si>
    <t>2026-10-06T06:28:05.1626972Z</t>
  </si>
  <si>
    <t>8584108721202674786PE</t>
  </si>
  <si>
    <t>2026-10-09; 2026-09-30</t>
  </si>
  <si>
    <t>2026-10-14T12:34:28.5067976Z</t>
  </si>
  <si>
    <t>PuPnGUyE_06atzpo7qV2OGQAIMAJ</t>
  </si>
  <si>
    <t>Provide ad targetings to Adi in Excel</t>
  </si>
  <si>
    <t>{"d8b70168-3e9f-451c-898e-9a1da643aafe":{"@odata.type":"#microsoft.graph.plannerAssignment","assignedDateTime":"2026-10-06T03:10:17.2468137Z","orderHint":"\"","assignedBy":{"user":{"displayName":null,"id":"d8b70168-3e9f-451c-898e-9a1da643aafe"},"application":{"displayName":null,"id":"75f31797-37c9-498e-8dc9-53c16a36afca"}}}}</t>
  </si>
  <si>
    <t>2026-10-06T03:10:17.2469122Z</t>
  </si>
  <si>
    <t>2026-10-06T06:21:08.7257381Z</t>
  </si>
  <si>
    <t>8584103507284463031P(</t>
  </si>
  <si>
    <t>2026-10-14T12:34:31.0628254Z</t>
  </si>
  <si>
    <t>YeY3NDAxIUOwj1HyC1VzpGQAE0Bo</t>
  </si>
  <si>
    <t>Monthly Update Lead Times Effective Period and Steelcase Manufacturing Plants Closure</t>
  </si>
  <si>
    <t>{"b0dde2c9-92a4-4d86-a4fd-2a130944956f":{"@odata.type":"#microsoft.graph.plannerAssignment","assignedDateTime":"2026-10-08T13:12:48.6716689Z","orderHint":"\"","assignedBy":{"user":{"displayName":null,"id":"129b8133-2f40-46f4-8391-49fec10f3174"},"application":{"displayName":null,"id":"75f31797-37c9-498e-8dc9-53c16a36afca"}}}}</t>
  </si>
  <si>
    <t>2026-10-05T06:15:20.2019311Z</t>
  </si>
  <si>
    <t>2026-10-05T00:00:00Z</t>
  </si>
  <si>
    <t>2026-10-06T02:36:33.1252795Z</t>
  </si>
  <si>
    <t>Requester Name: Lim Wen Yi | Requester Email:  Task Description: Monthly Update Lead Times Effective Period and Steelcase Manufacturing Plants Closure_x000D_
_x000D_
Copy writing: Minor webpage text update_x000D_
_x000D_
Digital Marketing Request Expectations: _x000D_
_x000D_
Reference materials or links: Example: https://sharing.clickup.com/14360166/v/5-90149946848-1/t/h/86bbuvqdg/85685bffdf31de9_x000D_
_x000D_
Request Details: _x000D_
_x000D_
Timeline &amp; Priority:</t>
  </si>
  <si>
    <t>2026-10-14T12:34:33.7710327Z</t>
  </si>
  <si>
    <t>ype12aslxkiLzsDC8N4tLmQAGSij</t>
  </si>
  <si>
    <t>{"b0dde2c9-92a4-4d86-a4fd-2a130944956f":{"@odata.type":"#microsoft.graph.plannerAssignment","assignedDateTime":"2026-10-08T13:12:01.767759Z","orderHint":"\"","assignedBy":{"user":{"displayName":null,"id":"129b8133-2f40-46f4-8391-49fec10f3174"},"application":{"displayName":null,"id":"75f31797-37c9-498e-8dc9-53c16a36afca"}}}}</t>
  </si>
  <si>
    <t>2026-10-05T06:25:08.5957297Z</t>
  </si>
  <si>
    <t>2026-10-06T02:35:33.4905817Z</t>
  </si>
  <si>
    <t>Requester Name: Lim Wen Yi | Requester Email:  Task Description: Monthly Update Lead Times Effective Period and Steelcase Manufacturing Plants Closure_x000D_
_x000D_
Copy writing: Minor webpage text update_x000D_
_x000D_
Digital Marketing Request Expectations: _x000D_
_x000D_
Reference materials or links: Example: https://sharing.clickup.com/14360166/v/5-90149946848-1/t/h/86bccw6e6/85685bffdf31de9_x000D_
_x000D_
Request Details: _x000D_
_x000D_
Timeline &amp; Priority:</t>
  </si>
  <si>
    <t>2026-10-14T12:34:36.4613279Z</t>
  </si>
  <si>
    <t>HrtdnEzxQEKAcc3pzkqMNWQAGAjq</t>
  </si>
  <si>
    <t>Tanya Announcement</t>
  </si>
  <si>
    <t>{"b0dde2c9-92a4-4d86-a4fd-2a130944956f":{"@odata.type":"#microsoft.graph.plannerAssignment","assignedDateTime":"2026-10-05T06:06:24.0893052Z","orderHint":"\"","assignedBy":{"user":{"displayName":null,"id":"b0dde2c9-92a4-4d86-a4fd-2a130944956f"},"application":{"displayName":null,"id":"75f31797-37c9-498e-8dc9-53c16a36afca"}}}}</t>
  </si>
  <si>
    <t>2026-10-05T06:06:24.0893788Z</t>
  </si>
  <si>
    <t>2026-10-06T01:13:20.4344269Z</t>
  </si>
  <si>
    <t>8584104265615655243P5</t>
  </si>
  <si>
    <t>2026-10-14T12:34:38.7511951Z</t>
  </si>
  <si>
    <t>VxeEf5JfcUiIv88yy3TSUWQAG5vw</t>
  </si>
  <si>
    <t>September Newsletter</t>
  </si>
  <si>
    <t>{"b0dde2c9-92a4-4d86-a4fd-2a130944956f":{"@odata.type":"#microsoft.graph.plannerAssignment","assignedDateTime":"2026-10-05T06:36:55.7962599Z","orderHint":"\"","assignedBy":{"user":{"displayName":null,"id":"b0dde2c9-92a4-4d86-a4fd-2a130944956f"},"application":{"displayName":null,"id":"75f31797-37c9-498e-8dc9-53c16a36afca"}}}}</t>
  </si>
  <si>
    <t>2026-10-05T06:36:55.7963172Z</t>
  </si>
  <si>
    <t>2026-10-06T01:13:01.4880412Z</t>
  </si>
  <si>
    <t>8584104247297198655P6</t>
  </si>
  <si>
    <t>2026-10-14T12:34:41.7846500Z</t>
  </si>
  <si>
    <t>QF_jvYONe0GchSWWj5sQlWQAEBGG</t>
  </si>
  <si>
    <t>Akhil Vinaik Announcement</t>
  </si>
  <si>
    <t>{"b0dde2c9-92a4-4d86-a4fd-2a130944956f":{"@odata.type":"#microsoft.graph.plannerAssignment","assignedDateTime":"2026-10-02T03:00:19.380873Z","orderHint":"\"","assignedBy":{"user":{"displayName":null,"id":"b0dde2c9-92a4-4d86-a4fd-2a130944956f"},"application":{"displayName":null,"id":"75f31797-37c9-498e-8dc9-53c16a36afca"}}}}</t>
  </si>
  <si>
    <t>2026-10-02T03:00:19.3809323Z</t>
  </si>
  <si>
    <t>2026-10-05T05:59:03.576709Z</t>
  </si>
  <si>
    <t>8584106969262518186PD</t>
  </si>
  <si>
    <t>2026-10-14T12:34:44.5198424Z</t>
  </si>
  <si>
    <t>OCBv-4qopE2_ufT6qTveiGQAAhhY</t>
  </si>
  <si>
    <t>Priscilla Announcement 9 am</t>
  </si>
  <si>
    <t>{"b0dde2c9-92a4-4d86-a4fd-2a130944956f":{"@odata.type":"#microsoft.graph.plannerAssignment","assignedDateTime":"2026-10-02T03:01:05.6893332Z","orderHint":"\"","assignedBy":{"user":{"displayName":null,"id":"b0dde2c9-92a4-4d86-a4fd-2a130944956f"},"application":{"displayName":null,"id":"75f31797-37c9-498e-8dc9-53c16a36afca"}}}}</t>
  </si>
  <si>
    <t>2026-10-02T03:01:05.6893864Z</t>
  </si>
  <si>
    <t>2026-10-05T01:09:02.0102256Z</t>
  </si>
  <si>
    <t>8584106968798242200P;</t>
  </si>
  <si>
    <t>2026-10-14T12:34:47.1298829Z</t>
  </si>
  <si>
    <t>PU0u1ATdXU6DdTaKm_70U2QAMEp7</t>
  </si>
  <si>
    <t>AP news 1st October</t>
  </si>
  <si>
    <t>{"b0dde2c9-92a4-4d86-a4fd-2a130944956f":{"@odata.type":"#microsoft.graph.plannerAssignment","assignedDateTime":"2026-09-30T02:38:33.1840838Z","orderHint":"\"","assignedBy":{"user":{"displayName":null,"id":"b0dde2c9-92a4-4d86-a4fd-2a130944956f"},"application":{"displayName":null,"id":"75f31797-37c9-498e-8dc9-53c16a36afca"}}}}</t>
  </si>
  <si>
    <t>2026-09-30T02:38:33.1841289Z</t>
  </si>
  <si>
    <t>2026-10-02T02:59:59.1376826Z</t>
  </si>
  <si>
    <t>- [Preview email](https://info.steelcase.com/-temporary-slug-7f2f6fc8-7324-4f8b-9b3b-7f6d3d20ac6c?hs_preview=HvylZmCc-222160710183 "https://info.steelcase.com/-temporary-slug-7f2f6fc8-7324-4f8b-9b3b-7f6d3d20ac6c?hs_preview=HvylZmCc-222160710183")_x000D_
- [Ocular™ Coupe Tables Now Added to Our Proudly Made in India Range](https://www.steelcase.com/asia-en/village/news/ocular-coupe-tables-now-added-to-our-proudly-made-in-india-range/ "https://www.steelcase.com/asia-en/village/news/ocular-coupe-tables-now-added-to-our-proudly-made-in-india-range/")_x000D_
- [High Performance Seating Campaign Kit Now Live](https://www.steelcase.com/asia-en/village/news/high-performance-seating-campaign-kit-now-live/ "https://www.steelcase.com/asia-en/village/news/high-performance-seating-campaign-kit-now-live/")_x000D_
- [Migration® SE Collection, In Your Showroom](https://www.steelcase.com/asia-en/village/news/migration-se-collection-in-your-showroom/ "https://www.steelcase.com/asia-en/village/news/migration-se-collection-in-your-showroom/")_x000D_
- [APAC Dealer Conference 2026 | 13-15 October 2026](https://www.steelcase.com/asia-en/village/news/apac-dealer-conference-2026-13-15-october-2026/ "https://www.steelcase.com/asia-en/village/news/apac-dealer-conference-2026-13-15-october-2026/") (Received more context and photo last week) — edited using copilot_x000D_
- [A New Chapter for Steelcase Malaysia](https://www.steelcase.com/asia-en/village/news/a-new-chapter-for-steelcase-malaysia/ "https://www.steelcase.com/asia-en/village/news/a-new-chapter-for-steelcase-malaysia/") (Received more context and photo last week) — edited using copilot_x000D_
- [Discontinuation of CF Series Evolution Monitor Arms in Asia Pacific](https://www.steelcase.com/asia-en/village/news/discontinuation-of-cf-series-evolution-monitor-arms-in-asia-pacific/ "https://www.steelcase.com/asia-en/village/news/discontinuation-of-cf-series-evolution-monitor-arms-in-asia-pacific/")_x000D_
- [H2 pCon Basket + Tanya: Smarter Content, Faster Quoting](https://www.steelcase.com/asia-en/village/news/h2-pcon-basket-tanya-smarter-content-faster-quoting/ "https://www.steelcase.com/asia-en/village/news/h2-pcon-basket-tanya-smarter-content-faster-quoting/")</t>
  </si>
  <si>
    <t>8584108710323359809P&amp;</t>
  </si>
  <si>
    <t>2026-10-14T12:34:49.9508626Z</t>
  </si>
  <si>
    <t>0tgMR7oA_kes_VePN6yB7GQAO7d4</t>
  </si>
  <si>
    <t>Trackable QR codes for Dealer Conference</t>
  </si>
  <si>
    <t>{"b0dde2c9-92a4-4d86-a4fd-2a130944956f":{"@odata.type":"#microsoft.graph.plannerAssignment","assignedDateTime":"2026-10-01T12:08:17.6501119Z","orderHint":"\"","assignedBy":{"user":{"displayName":null,"id":"b0dde2c9-92a4-4d86-a4fd-2a130944956f"},"application":{"displayName":null,"id":"75f31797-37c9-498e-8dc9-53c16a36afca"}}}}</t>
  </si>
  <si>
    <t>2026-10-01T12:08:07.8328959Z</t>
  </si>
  <si>
    <t>2026-10-01T10:00:00Z</t>
  </si>
  <si>
    <t>2026-10-02T10:00:00Z</t>
  </si>
  <si>
    <t>2026-10-02T02:17:18.1189185Z</t>
  </si>
  <si>
    <t>Hi team,_x000D_
For our Empower station at Dealer Conference, we're showcasing the campaign kits we've created for dealers. We'd like to use QR codes to lead dealers to each kit, and we'd like them to be trackable so we can see scans and visits from the event._x000D_
Could you help prepare QR codes for the following?_x000D_
- Migration SE Collection campaign kit_x000D_
- Karman campaign kit_x000D_
- High Performance Seating campaign kit_x000D_
- Work Better Resources_x000D_
What we need:_x000D_
- A separate tracked link for each kit (e.g. dealer conference, medium: QR), so we can tell the kits apart and separate event traffic from our usual traffic_x000D_
- High-res files (PNG/ JPEG) that work in print and on a digital screen_x000D_
Thanks!</t>
  </si>
  <si>
    <t>8584107504577091647PE</t>
  </si>
  <si>
    <t>2026-10-14T12:34:53.1196979Z</t>
  </si>
  <si>
    <t>0w9XW1ps9kOMurnzSQ20ymQADJVF</t>
  </si>
  <si>
    <t>Ocular AP Announcement 2 pm</t>
  </si>
  <si>
    <t>{"b0dde2c9-92a4-4d86-a4fd-2a130944956f":{"@odata.type":"#microsoft.graph.plannerAssignment","assignedDateTime":"2026-10-01T02:26:15.6846971Z","orderHint":"\"","assignedBy":{"user":{"displayName":null,"id":"b0dde2c9-92a4-4d86-a4fd-2a130944956f"},"application":{"displayName":null,"id":"75f31797-37c9-498e-8dc9-53c16a36afca"}}}}</t>
  </si>
  <si>
    <t>2026-10-01T02:26:15.6847581Z</t>
  </si>
  <si>
    <t>2026-10-01T06:14:05.7178418Z</t>
  </si>
  <si>
    <t>8584107853700358409P#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</si>
</sst>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left" vertical="top" wrapText="1"/>
    </xf>
    <xf numFmtId="14" fontId="0" fillId="0" borderId="0" xfId="0" applyNumberFormat="1" applyAlignment="1">
      <alignment horizontal="left" vertical="top" wrapText="1"/>
    </xf>
    <xf numFmtId="0" fontId="0" fillId="0" borderId="0" xfId="0" applyNumberFormat="1" applyAlignment="1">
      <alignment horizontal="left" vertical="top" wrapText="1"/>
    </xf>
  </cellXfs>
  <cellStyles count="1">
    <cellStyle name="Normal" xfId="0" builtinId="0"/>
  </cellStyles>
  <dxfs count="36">
    <dxf>
      <numFmt numFmtId="0" formatCode="General"/>
      <alignment horizontal="left" vertical="top" wrapText="1"/>
    </dxf>
    <dxf>
      <numFmt numFmtId="0" formatCode="General"/>
      <alignment horizontal="left" vertical="top" wrapText="1"/>
    </dxf>
    <dxf>
      <numFmt numFmtId="0" formatCode="General"/>
      <alignment horizontal="left" vertical="top" wrapText="1"/>
    </dxf>
    <dxf>
      <numFmt numFmtId="0" formatCode="General"/>
      <alignment horizontal="left" vertical="top" wrapText="1"/>
    </dxf>
    <dxf>
      <numFmt numFmtId="0" formatCode="General"/>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A4963D-7540-4CDA-9838-271ECAD3B3C2}" name="PlannerTasks" displayName="PlannerTasks" ref="A1:AH117" totalsRowShown="0" headerRowDxfId="35" dataDxfId="34">
  <autoFilter ref="A1:AH117" xr:uid="{2AA4963D-7540-4CDA-9838-271ECAD3B3C2}"/>
  <tableColumns count="34">
    <tableColumn id="1" xr3:uid="{DB834120-8213-4EA9-8997-4F312F10AF3A}" name="RunTimestamp" dataDxfId="33"/>
    <tableColumn id="2" xr3:uid="{6869FD95-6CDE-4A88-BC85-7496F218F8B9}" name="TaskId" dataDxfId="32"/>
    <tableColumn id="3" xr3:uid="{5F17D3BA-D0AA-4D04-842A-E5B5FF6063FE}" name="Title" dataDxfId="31"/>
    <tableColumn id="4" xr3:uid="{2F1D3CFA-48B2-4960-8AEE-1FB3FBB274F5}" name="PlanId" dataDxfId="30"/>
    <tableColumn id="5" xr3:uid="{701903C2-40B1-4850-80A6-A78FD28164DC}" name="BucketId" dataDxfId="29"/>
    <tableColumn id="6" xr3:uid="{A4843544-3CC0-4407-BB52-CE1150AD0686}" name="BucketName" dataDxfId="28"/>
    <tableColumn id="8" xr3:uid="{2A0DF503-9872-47EA-80AC-9DC958914A8D}" name="PercentComplete" dataDxfId="27"/>
    <tableColumn id="9" xr3:uid="{DAEEAFE1-3B96-4BDB-B5FE-05E2D6B538EA}" name="Priority" dataDxfId="26"/>
    <tableColumn id="10" xr3:uid="{C6391371-F82C-4EE3-99F3-359E4252D784}" name="PriorityLabel" dataDxfId="25"/>
    <tableColumn id="11" xr3:uid="{6A1BB8E9-6746-405D-8CF0-000C3702E377}" name="AssignedToIds" dataDxfId="24"/>
    <tableColumn id="12" xr3:uid="{72AB19CD-A3A3-4EB5-B3DB-7D402138A2F6}" name="CreatedDateTime" dataDxfId="23"/>
    <tableColumn id="13" xr3:uid="{0AA1FB20-0E19-4775-8E29-C004151D075F}" name="CreatedBy" dataDxfId="22"/>
    <tableColumn id="14" xr3:uid="{B4746E14-2B70-4C13-A27A-C945BE82706B}" name="StartDateTime" dataDxfId="21"/>
    <tableColumn id="15" xr3:uid="{9052DD28-645E-4F2A-8325-A6AED070CD90}" name="DueDateTime" dataDxfId="20"/>
    <tableColumn id="16" xr3:uid="{403383B2-2731-4AC7-9DCC-A2EC60529151}" name="CompletedDateTime" dataDxfId="19"/>
    <tableColumn id="17" xr3:uid="{74B26FB3-E103-4D58-8B08-A51F98CBF2E3}" name="CompletedBy" dataDxfId="18"/>
    <tableColumn id="18" xr3:uid="{A2DA6914-0008-44CA-AC47-9184CDDE39DA}" name="Labels" dataDxfId="17"/>
    <tableColumn id="19" xr3:uid="{D14DEACC-BA25-41EE-80A4-CAC98070917D}" name="HasDescription" dataDxfId="16"/>
    <tableColumn id="20" xr3:uid="{9ACAACAC-507B-4DC7-AD87-3037C3D6ABF6}" name="Description" dataDxfId="15"/>
    <tableColumn id="21" xr3:uid="{70AE3AFE-BB47-4B5C-8B6D-B3D24A580DD3}" name="ChecklistItemCount" dataDxfId="14"/>
    <tableColumn id="22" xr3:uid="{508A1F03-8B7A-4570-814B-F8822526CC4C}" name="ChecklistSummary" dataDxfId="13"/>
    <tableColumn id="23" xr3:uid="{8C5EEC8D-E1F3-4795-8198-7B318E951895}" name="ReferenceCount" dataDxfId="12"/>
    <tableColumn id="24" xr3:uid="{D86CC924-A236-42C8-8BA3-BE011D545FE4}" name="ReferenceSummary" dataDxfId="11"/>
    <tableColumn id="25" xr3:uid="{CDB60706-CD96-416B-B2E2-8E19E1FAB155}" name="OrderHint" dataDxfId="10"/>
    <tableColumn id="26" xr3:uid="{19D278D8-DDF1-4E6C-9D4F-9F84B3572959}" name="ConversationThreadId" dataDxfId="9"/>
    <tableColumn id="7" xr3:uid="{49ADE712-614A-4BBC-B52F-B2E2A1549A0B}" name="AssignedToNames" dataDxfId="8"/>
    <tableColumn id="27" xr3:uid="{3A1BDDC4-A3C8-4207-B12F-41B31811BA7B}" name="PlanName" dataDxfId="7"/>
    <tableColumn id="28" xr3:uid="{22620D7E-8F4E-4995-8D8C-7608A4AEDF16}" name="LabelNames" dataDxfId="6"/>
    <tableColumn id="29" xr3:uid="{9423C870-128F-47CD-AD60-06B88CAF75FF}" name="AssignmentDates" dataDxfId="5"/>
    <tableColumn id="30" xr3:uid="{56E3177C-7536-4CE6-98E4-452AA221D3B0}" name="ChecklistDone" dataDxfId="4">
      <calculatedColumnFormula>(LEN(PlannerTasks[[#This Row],[ChecklistSummary]])-LEN(SUBSTITUTE(PlannerTasks[[#This Row],[ChecklistSummary]],"""isChecked"":true","")))/LEN("""isChecked"":true")</calculatedColumnFormula>
    </tableColumn>
    <tableColumn id="31" xr3:uid="{7D3FF46B-5BAC-4FFD-9CC1-44E3F375FE0D}" name="ChecklistOpen" dataDxfId="3">
      <calculatedColumnFormula>PlannerTasks[[#This Row],[ChecklistItemCount]]-PlannerTasks[[#This Row],[ChecklistDone]]</calculatedColumnFormula>
    </tableColumn>
    <tableColumn id="32" xr3:uid="{559378C8-DB63-4216-BDBA-4ED2CD9F5A86}" name="IsOverdue" dataDxfId="2">
      <calculatedColumnFormula>IF(OR(PlannerTasks[[#This Row],[DueDateTime]]="",PlannerTasks[[#This Row],[PercentComplete]]=100),"No",IF(DATEVALUE(LEFT(PlannerTasks[[#This Row],[DueDateTime]],10))&lt;TODAY(),"Yes","No"))</calculatedColumnFormula>
    </tableColumn>
    <tableColumn id="33" xr3:uid="{BF905912-22CA-4890-9ED4-F8B0FCB32E0F}" name="DaysOverdue" dataDxfId="1">
      <calculatedColumnFormula>IF(PlannerTasks[[#This Row],[IsOverdue]]="Yes",TODAY()-DATEVALUE(LEFT(PlannerTasks[[#This Row],[DueDateTime]],10)),0)</calculatedColumnFormula>
    </tableColumn>
    <tableColumn id="34" xr3:uid="{288F1133-F7B6-4A7C-9D20-0BFBFE26F40C}" name="DaysToDue" dataDxfId="0">
      <calculatedColumnFormula>IF(OR(PlannerTasks[[#This Row],[DueDateTime]]="",PlannerTasks[[#This Row],[PercentComplete]]=100),"",DATEVALUE(LEFT(PlannerTasks[[#This Row],[DueDateTime]],10))-TODAY())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7"/>
  <sheetViews>
    <sheetView tabSelected="1" topLeftCell="L40" workbookViewId="0">
      <selection activeCell="U42" sqref="U42"/>
    </sheetView>
  </sheetViews>
  <sheetFormatPr defaultRowHeight="15" customHeight="1"/>
  <cols>
    <col min="1" max="1" width="28.5703125" style="1" bestFit="1" customWidth="1"/>
    <col min="2" max="2" width="35.140625" style="1" bestFit="1" customWidth="1"/>
    <col min="3" max="3" width="32.5703125" style="1" customWidth="1"/>
    <col min="4" max="4" width="30.140625" style="1" bestFit="1" customWidth="1"/>
    <col min="5" max="5" width="34.7109375" style="1" bestFit="1" customWidth="1"/>
    <col min="6" max="6" width="14.42578125" style="1" bestFit="1" customWidth="1"/>
    <col min="7" max="7" width="18.5703125" style="1" bestFit="1" customWidth="1"/>
    <col min="8" max="8" width="9.7109375" style="1" bestFit="1" customWidth="1"/>
    <col min="9" max="9" width="14.7109375" style="1" bestFit="1" customWidth="1"/>
    <col min="10" max="10" width="53.140625" style="1" customWidth="1"/>
    <col min="11" max="11" width="29.5703125" style="1" bestFit="1" customWidth="1"/>
    <col min="12" max="12" width="38.28515625" style="1" bestFit="1" customWidth="1"/>
    <col min="13" max="14" width="21.140625" style="1" bestFit="1" customWidth="1"/>
    <col min="15" max="15" width="29.5703125" style="1" bestFit="1" customWidth="1"/>
    <col min="16" max="16" width="38.28515625" style="1" bestFit="1" customWidth="1"/>
    <col min="17" max="17" width="33.85546875" style="1" bestFit="1" customWidth="1"/>
    <col min="18" max="18" width="17" style="1" bestFit="1" customWidth="1"/>
    <col min="19" max="19" width="37.140625" style="1" customWidth="1"/>
    <col min="20" max="20" width="20.7109375" style="1" bestFit="1" customWidth="1"/>
    <col min="21" max="21" width="36.85546875" style="1" customWidth="1"/>
    <col min="22" max="22" width="17.85546875" style="1" bestFit="1" customWidth="1"/>
    <col min="23" max="23" width="21.140625" style="1" bestFit="1" customWidth="1"/>
    <col min="24" max="24" width="24.5703125" style="1" bestFit="1" customWidth="1"/>
    <col min="25" max="25" width="9.140625" style="1"/>
    <col min="26" max="26" width="26" style="1" bestFit="1" customWidth="1"/>
    <col min="27" max="27" width="29.42578125" style="1" bestFit="1" customWidth="1"/>
    <col min="28" max="28" width="26.140625" style="1" bestFit="1" customWidth="1"/>
    <col min="29" max="29" width="22.42578125" style="1" bestFit="1" customWidth="1"/>
    <col min="30" max="31" width="16.28515625" style="1" bestFit="1" customWidth="1"/>
    <col min="32" max="32" width="12.5703125" style="1" bestFit="1" customWidth="1"/>
    <col min="33" max="33" width="15.5703125" style="1" bestFit="1" customWidth="1"/>
    <col min="34" max="34" width="13.42578125" style="1" bestFit="1" customWidth="1"/>
  </cols>
  <sheetData>
    <row r="1" spans="1:34"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15" customHeight="1">
      <c r="A2" s="2" t="s">
        <v>34</v>
      </c>
      <c r="B2" s="2" t="s">
        <v>35</v>
      </c>
      <c r="C2" s="2" t="s">
        <v>36</v>
      </c>
      <c r="D2" s="2" t="s">
        <v>37</v>
      </c>
      <c r="E2" s="2" t="s">
        <v>38</v>
      </c>
      <c r="F2" s="2" t="s">
        <v>39</v>
      </c>
      <c r="G2" s="2">
        <v>0</v>
      </c>
      <c r="H2" s="2">
        <v>5</v>
      </c>
      <c r="I2" s="2" t="s">
        <v>40</v>
      </c>
      <c r="J2" s="2" t="s">
        <v>41</v>
      </c>
      <c r="K2" s="2" t="s">
        <v>42</v>
      </c>
      <c r="L2" s="2" t="s">
        <v>43</v>
      </c>
      <c r="M2" s="2"/>
      <c r="N2" s="2"/>
      <c r="O2" s="2"/>
      <c r="P2" s="2"/>
      <c r="Q2" s="2" t="s">
        <v>44</v>
      </c>
      <c r="R2" s="2" t="b">
        <v>0</v>
      </c>
      <c r="S2" s="2"/>
      <c r="T2" s="2">
        <v>0</v>
      </c>
      <c r="U2" s="2" t="s">
        <v>45</v>
      </c>
      <c r="V2" s="2">
        <v>0</v>
      </c>
      <c r="W2" s="2" t="s">
        <v>45</v>
      </c>
      <c r="X2" s="2" t="s">
        <v>46</v>
      </c>
      <c r="Y2" s="2"/>
      <c r="Z2" s="2" t="s">
        <v>47</v>
      </c>
      <c r="AA2" s="2" t="s">
        <v>48</v>
      </c>
      <c r="AB2" s="2" t="s">
        <v>49</v>
      </c>
      <c r="AC2" s="3">
        <v>46309</v>
      </c>
      <c r="AD2" s="4">
        <f>(LEN(PlannerTasks[[#This Row],[ChecklistSummary]])-LEN(SUBSTITUTE(PlannerTasks[[#This Row],[ChecklistSummary]],"""isChecked"":true","")))/LEN("""isChecked"":true")</f>
        <v>0</v>
      </c>
      <c r="AE2" s="4">
        <f>PlannerTasks[[#This Row],[ChecklistItemCount]]-PlannerTasks[[#This Row],[ChecklistDone]]</f>
        <v>0</v>
      </c>
      <c r="AF2" s="4" t="str">
        <f ca="1">IF(OR(PlannerTasks[[#This Row],[DueDateTime]]="",PlannerTasks[[#This Row],[PercentComplete]]=100),"No",IF(DATEVALUE(LEFT(PlannerTasks[[#This Row],[DueDateTime]],10))&lt;TODAY(),"Yes","No"))</f>
        <v>No</v>
      </c>
      <c r="AG2" s="4">
        <f ca="1">IF(PlannerTasks[[#This Row],[IsOverdue]]="Yes",TODAY()-DATEVALUE(LEFT(PlannerTasks[[#This Row],[DueDateTime]],10)),0)</f>
        <v>0</v>
      </c>
      <c r="AH2" s="4" t="str">
        <f ca="1">IF(OR(PlannerTasks[[#This Row],[DueDateTime]]="",PlannerTasks[[#This Row],[PercentComplete]]=100),"",DATEVALUE(LEFT(PlannerTasks[[#This Row],[DueDateTime]],10))-TODAY())</f>
        <v/>
      </c>
    </row>
    <row r="3" spans="1:34" ht="15" customHeight="1">
      <c r="A3" s="2" t="s">
        <v>50</v>
      </c>
      <c r="B3" s="2" t="s">
        <v>51</v>
      </c>
      <c r="C3" s="2" t="s">
        <v>52</v>
      </c>
      <c r="D3" s="2" t="s">
        <v>37</v>
      </c>
      <c r="E3" s="2" t="s">
        <v>38</v>
      </c>
      <c r="F3" s="2" t="s">
        <v>39</v>
      </c>
      <c r="G3" s="2">
        <v>0</v>
      </c>
      <c r="H3" s="2">
        <v>5</v>
      </c>
      <c r="I3" s="2" t="s">
        <v>40</v>
      </c>
      <c r="J3" s="2" t="s">
        <v>53</v>
      </c>
      <c r="K3" s="2" t="s">
        <v>54</v>
      </c>
      <c r="L3" s="2" t="s">
        <v>43</v>
      </c>
      <c r="M3" s="2"/>
      <c r="N3" s="2"/>
      <c r="O3" s="2"/>
      <c r="P3" s="2"/>
      <c r="Q3" s="2" t="s">
        <v>55</v>
      </c>
      <c r="R3" s="2" t="b">
        <v>0</v>
      </c>
      <c r="S3" s="2"/>
      <c r="T3" s="2">
        <v>0</v>
      </c>
      <c r="U3" s="2" t="s">
        <v>45</v>
      </c>
      <c r="V3" s="2">
        <v>0</v>
      </c>
      <c r="W3" s="2" t="s">
        <v>45</v>
      </c>
      <c r="X3" s="2" t="s">
        <v>56</v>
      </c>
      <c r="Y3" s="2"/>
      <c r="Z3" s="2" t="s">
        <v>47</v>
      </c>
      <c r="AA3" s="2" t="s">
        <v>48</v>
      </c>
      <c r="AB3" s="2" t="s">
        <v>57</v>
      </c>
      <c r="AC3" s="3">
        <v>46309</v>
      </c>
      <c r="AD3" s="4">
        <f>(LEN(PlannerTasks[[#This Row],[ChecklistSummary]])-LEN(SUBSTITUTE(PlannerTasks[[#This Row],[ChecklistSummary]],"""isChecked"":true","")))/LEN("""isChecked"":true")</f>
        <v>0</v>
      </c>
      <c r="AE3" s="4">
        <f>PlannerTasks[[#This Row],[ChecklistItemCount]]-PlannerTasks[[#This Row],[ChecklistDone]]</f>
        <v>0</v>
      </c>
      <c r="AF3" s="4" t="str">
        <f ca="1">IF(OR(PlannerTasks[[#This Row],[DueDateTime]]="",PlannerTasks[[#This Row],[PercentComplete]]=100),"No",IF(DATEVALUE(LEFT(PlannerTasks[[#This Row],[DueDateTime]],10))&lt;TODAY(),"Yes","No"))</f>
        <v>No</v>
      </c>
      <c r="AG3" s="4">
        <f ca="1">IF(PlannerTasks[[#This Row],[IsOverdue]]="Yes",TODAY()-DATEVALUE(LEFT(PlannerTasks[[#This Row],[DueDateTime]],10)),0)</f>
        <v>0</v>
      </c>
      <c r="AH3" s="4" t="str">
        <f ca="1">IF(OR(PlannerTasks[[#This Row],[DueDateTime]]="",PlannerTasks[[#This Row],[PercentComplete]]=100),"",DATEVALUE(LEFT(PlannerTasks[[#This Row],[DueDateTime]],10))-TODAY())</f>
        <v/>
      </c>
    </row>
    <row r="4" spans="1:34" ht="15" customHeight="1">
      <c r="A4" s="2" t="s">
        <v>58</v>
      </c>
      <c r="B4" s="2" t="s">
        <v>59</v>
      </c>
      <c r="C4" s="2" t="s">
        <v>60</v>
      </c>
      <c r="D4" s="2" t="s">
        <v>37</v>
      </c>
      <c r="E4" s="2" t="s">
        <v>61</v>
      </c>
      <c r="F4" s="2" t="s">
        <v>62</v>
      </c>
      <c r="G4" s="2">
        <v>0</v>
      </c>
      <c r="H4" s="2">
        <v>5</v>
      </c>
      <c r="I4" s="2" t="s">
        <v>40</v>
      </c>
      <c r="J4" s="2" t="s">
        <v>63</v>
      </c>
      <c r="K4" s="2" t="s">
        <v>64</v>
      </c>
      <c r="L4" s="2" t="s">
        <v>65</v>
      </c>
      <c r="M4" s="2"/>
      <c r="N4" s="2" t="s">
        <v>66</v>
      </c>
      <c r="O4" s="2"/>
      <c r="P4" s="2"/>
      <c r="Q4" s="2" t="s">
        <v>67</v>
      </c>
      <c r="R4" s="2" t="b">
        <v>1</v>
      </c>
      <c r="S4" s="2" t="s">
        <v>68</v>
      </c>
      <c r="T4" s="2">
        <v>0</v>
      </c>
      <c r="U4" s="2" t="s">
        <v>45</v>
      </c>
      <c r="V4" s="2">
        <v>0</v>
      </c>
      <c r="W4" s="2" t="s">
        <v>45</v>
      </c>
      <c r="X4" s="2" t="s">
        <v>69</v>
      </c>
      <c r="Y4" s="2"/>
      <c r="Z4" s="2" t="s">
        <v>70</v>
      </c>
      <c r="AA4" s="2" t="s">
        <v>48</v>
      </c>
      <c r="AB4" s="2"/>
      <c r="AC4" s="3">
        <v>46309</v>
      </c>
      <c r="AD4" s="4">
        <f>(LEN(PlannerTasks[[#This Row],[ChecklistSummary]])-LEN(SUBSTITUTE(PlannerTasks[[#This Row],[ChecklistSummary]],"""isChecked"":true","")))/LEN("""isChecked"":true")</f>
        <v>0</v>
      </c>
      <c r="AE4" s="4">
        <f>PlannerTasks[[#This Row],[ChecklistItemCount]]-PlannerTasks[[#This Row],[ChecklistDone]]</f>
        <v>0</v>
      </c>
      <c r="AF4" s="4" t="str">
        <f ca="1">IF(OR(PlannerTasks[[#This Row],[DueDateTime]]="",PlannerTasks[[#This Row],[PercentComplete]]=100),"No",IF(DATEVALUE(LEFT(PlannerTasks[[#This Row],[DueDateTime]],10))&lt;TODAY(),"Yes","No"))</f>
        <v>No</v>
      </c>
      <c r="AG4" s="4">
        <f ca="1">IF(PlannerTasks[[#This Row],[IsOverdue]]="Yes",TODAY()-DATEVALUE(LEFT(PlannerTasks[[#This Row],[DueDateTime]],10)),0)</f>
        <v>0</v>
      </c>
      <c r="AH4" s="4">
        <f ca="1">IF(OR(PlannerTasks[[#This Row],[DueDateTime]]="",PlannerTasks[[#This Row],[PercentComplete]]=100),"",DATEVALUE(LEFT(PlannerTasks[[#This Row],[DueDateTime]],10))-TODAY())</f>
        <v>9</v>
      </c>
    </row>
    <row r="5" spans="1:34" ht="15" customHeight="1">
      <c r="A5" s="2" t="s">
        <v>71</v>
      </c>
      <c r="B5" s="2" t="s">
        <v>72</v>
      </c>
      <c r="C5" s="2" t="s">
        <v>73</v>
      </c>
      <c r="D5" s="2" t="s">
        <v>37</v>
      </c>
      <c r="E5" s="2" t="s">
        <v>74</v>
      </c>
      <c r="F5" s="2" t="s">
        <v>75</v>
      </c>
      <c r="G5" s="2">
        <v>0</v>
      </c>
      <c r="H5" s="2">
        <v>5</v>
      </c>
      <c r="I5" s="2" t="s">
        <v>40</v>
      </c>
      <c r="J5" s="2" t="s">
        <v>76</v>
      </c>
      <c r="K5" s="2" t="s">
        <v>77</v>
      </c>
      <c r="L5" s="2" t="s">
        <v>43</v>
      </c>
      <c r="M5" s="2"/>
      <c r="N5" s="2"/>
      <c r="O5" s="2"/>
      <c r="P5" s="2"/>
      <c r="Q5" s="2" t="s">
        <v>78</v>
      </c>
      <c r="R5" s="2" t="b">
        <v>0</v>
      </c>
      <c r="S5" s="2"/>
      <c r="T5" s="2">
        <v>0</v>
      </c>
      <c r="U5" s="2" t="s">
        <v>45</v>
      </c>
      <c r="V5" s="2">
        <v>0</v>
      </c>
      <c r="W5" s="2" t="s">
        <v>45</v>
      </c>
      <c r="X5" s="2" t="s">
        <v>79</v>
      </c>
      <c r="Y5" s="2"/>
      <c r="Z5" s="2" t="s">
        <v>47</v>
      </c>
      <c r="AA5" s="2" t="s">
        <v>48</v>
      </c>
      <c r="AB5" s="2" t="s">
        <v>80</v>
      </c>
      <c r="AC5" s="3">
        <v>46309</v>
      </c>
      <c r="AD5" s="4">
        <f>(LEN(PlannerTasks[[#This Row],[ChecklistSummary]])-LEN(SUBSTITUTE(PlannerTasks[[#This Row],[ChecklistSummary]],"""isChecked"":true","")))/LEN("""isChecked"":true")</f>
        <v>0</v>
      </c>
      <c r="AE5" s="4">
        <f>PlannerTasks[[#This Row],[ChecklistItemCount]]-PlannerTasks[[#This Row],[ChecklistDone]]</f>
        <v>0</v>
      </c>
      <c r="AF5" s="4" t="str">
        <f ca="1">IF(OR(PlannerTasks[[#This Row],[DueDateTime]]="",PlannerTasks[[#This Row],[PercentComplete]]=100),"No",IF(DATEVALUE(LEFT(PlannerTasks[[#This Row],[DueDateTime]],10))&lt;TODAY(),"Yes","No"))</f>
        <v>No</v>
      </c>
      <c r="AG5" s="4">
        <f ca="1">IF(PlannerTasks[[#This Row],[IsOverdue]]="Yes",TODAY()-DATEVALUE(LEFT(PlannerTasks[[#This Row],[DueDateTime]],10)),0)</f>
        <v>0</v>
      </c>
      <c r="AH5" s="4" t="str">
        <f ca="1">IF(OR(PlannerTasks[[#This Row],[DueDateTime]]="",PlannerTasks[[#This Row],[PercentComplete]]=100),"",DATEVALUE(LEFT(PlannerTasks[[#This Row],[DueDateTime]],10))-TODAY())</f>
        <v/>
      </c>
    </row>
    <row r="6" spans="1:34" ht="15" customHeight="1">
      <c r="A6" s="2" t="s">
        <v>81</v>
      </c>
      <c r="B6" s="2" t="s">
        <v>82</v>
      </c>
      <c r="C6" s="2" t="s">
        <v>83</v>
      </c>
      <c r="D6" s="2" t="s">
        <v>37</v>
      </c>
      <c r="E6" s="2" t="s">
        <v>84</v>
      </c>
      <c r="F6" s="2" t="s">
        <v>85</v>
      </c>
      <c r="G6" s="2">
        <v>0</v>
      </c>
      <c r="H6" s="2">
        <v>5</v>
      </c>
      <c r="I6" s="2" t="s">
        <v>40</v>
      </c>
      <c r="J6" s="2" t="s">
        <v>86</v>
      </c>
      <c r="K6" s="2" t="s">
        <v>87</v>
      </c>
      <c r="L6" s="2" t="s">
        <v>43</v>
      </c>
      <c r="M6" s="2"/>
      <c r="N6" s="2"/>
      <c r="O6" s="2"/>
      <c r="P6" s="2"/>
      <c r="Q6" s="2" t="s">
        <v>88</v>
      </c>
      <c r="R6" s="2" t="b">
        <v>0</v>
      </c>
      <c r="S6" s="2"/>
      <c r="T6" s="2">
        <v>0</v>
      </c>
      <c r="U6" s="2" t="s">
        <v>45</v>
      </c>
      <c r="V6" s="2">
        <v>0</v>
      </c>
      <c r="W6" s="2" t="s">
        <v>45</v>
      </c>
      <c r="X6" s="2" t="s">
        <v>89</v>
      </c>
      <c r="Y6" s="2"/>
      <c r="Z6" s="2" t="s">
        <v>47</v>
      </c>
      <c r="AA6" s="2" t="s">
        <v>48</v>
      </c>
      <c r="AB6" s="2" t="s">
        <v>90</v>
      </c>
      <c r="AC6" s="3">
        <v>46308</v>
      </c>
      <c r="AD6" s="4">
        <f>(LEN(PlannerTasks[[#This Row],[ChecklistSummary]])-LEN(SUBSTITUTE(PlannerTasks[[#This Row],[ChecklistSummary]],"""isChecked"":true","")))/LEN("""isChecked"":true")</f>
        <v>0</v>
      </c>
      <c r="AE6" s="4">
        <f>PlannerTasks[[#This Row],[ChecklistItemCount]]-PlannerTasks[[#This Row],[ChecklistDone]]</f>
        <v>0</v>
      </c>
      <c r="AF6" s="4" t="str">
        <f ca="1">IF(OR(PlannerTasks[[#This Row],[DueDateTime]]="",PlannerTasks[[#This Row],[PercentComplete]]=100),"No",IF(DATEVALUE(LEFT(PlannerTasks[[#This Row],[DueDateTime]],10))&lt;TODAY(),"Yes","No"))</f>
        <v>No</v>
      </c>
      <c r="AG6" s="4">
        <f ca="1">IF(PlannerTasks[[#This Row],[IsOverdue]]="Yes",TODAY()-DATEVALUE(LEFT(PlannerTasks[[#This Row],[DueDateTime]],10)),0)</f>
        <v>0</v>
      </c>
      <c r="AH6" s="4" t="str">
        <f ca="1">IF(OR(PlannerTasks[[#This Row],[DueDateTime]]="",PlannerTasks[[#This Row],[PercentComplete]]=100),"",DATEVALUE(LEFT(PlannerTasks[[#This Row],[DueDateTime]],10))-TODAY())</f>
        <v/>
      </c>
    </row>
    <row r="7" spans="1:34" ht="15" customHeight="1">
      <c r="A7" s="2" t="s">
        <v>91</v>
      </c>
      <c r="B7" s="2" t="s">
        <v>92</v>
      </c>
      <c r="C7" s="2" t="s">
        <v>93</v>
      </c>
      <c r="D7" s="2" t="s">
        <v>37</v>
      </c>
      <c r="E7" s="2" t="s">
        <v>84</v>
      </c>
      <c r="F7" s="2" t="s">
        <v>85</v>
      </c>
      <c r="G7" s="2">
        <v>0</v>
      </c>
      <c r="H7" s="2">
        <v>5</v>
      </c>
      <c r="I7" s="2" t="s">
        <v>40</v>
      </c>
      <c r="J7" s="2" t="s">
        <v>94</v>
      </c>
      <c r="K7" s="2" t="s">
        <v>95</v>
      </c>
      <c r="L7" s="2" t="s">
        <v>96</v>
      </c>
      <c r="M7" s="2"/>
      <c r="N7" s="2"/>
      <c r="O7" s="2"/>
      <c r="P7" s="2"/>
      <c r="Q7" s="2" t="s">
        <v>97</v>
      </c>
      <c r="R7" s="2" t="b">
        <v>0</v>
      </c>
      <c r="S7" s="2"/>
      <c r="T7" s="2">
        <v>4</v>
      </c>
      <c r="U7" s="2" t="s">
        <v>98</v>
      </c>
      <c r="V7" s="2">
        <v>0</v>
      </c>
      <c r="W7" s="2" t="s">
        <v>45</v>
      </c>
      <c r="X7" s="2" t="s">
        <v>99</v>
      </c>
      <c r="Y7" s="2"/>
      <c r="Z7" s="2" t="s">
        <v>100</v>
      </c>
      <c r="AA7" s="2" t="s">
        <v>48</v>
      </c>
      <c r="AB7" s="2" t="s">
        <v>101</v>
      </c>
      <c r="AC7" s="3">
        <v>46307</v>
      </c>
      <c r="AD7" s="4">
        <f>(LEN(PlannerTasks[[#This Row],[ChecklistSummary]])-LEN(SUBSTITUTE(PlannerTasks[[#This Row],[ChecklistSummary]],"""isChecked"":true","")))/LEN("""isChecked"":true")</f>
        <v>0</v>
      </c>
      <c r="AE7" s="4">
        <f>PlannerTasks[[#This Row],[ChecklistItemCount]]-PlannerTasks[[#This Row],[ChecklistDone]]</f>
        <v>4</v>
      </c>
      <c r="AF7" s="4" t="str">
        <f ca="1">IF(OR(PlannerTasks[[#This Row],[DueDateTime]]="",PlannerTasks[[#This Row],[PercentComplete]]=100),"No",IF(DATEVALUE(LEFT(PlannerTasks[[#This Row],[DueDateTime]],10))&lt;TODAY(),"Yes","No"))</f>
        <v>No</v>
      </c>
      <c r="AG7" s="4">
        <f ca="1">IF(PlannerTasks[[#This Row],[IsOverdue]]="Yes",TODAY()-DATEVALUE(LEFT(PlannerTasks[[#This Row],[DueDateTime]],10)),0)</f>
        <v>0</v>
      </c>
      <c r="AH7" s="4" t="str">
        <f ca="1">IF(OR(PlannerTasks[[#This Row],[DueDateTime]]="",PlannerTasks[[#This Row],[PercentComplete]]=100),"",DATEVALUE(LEFT(PlannerTasks[[#This Row],[DueDateTime]],10))-TODAY())</f>
        <v/>
      </c>
    </row>
    <row r="8" spans="1:34" ht="15" customHeight="1">
      <c r="A8" s="2" t="s">
        <v>102</v>
      </c>
      <c r="B8" s="2" t="s">
        <v>103</v>
      </c>
      <c r="C8" s="2" t="s">
        <v>104</v>
      </c>
      <c r="D8" s="2" t="s">
        <v>37</v>
      </c>
      <c r="E8" s="2" t="s">
        <v>84</v>
      </c>
      <c r="F8" s="2" t="s">
        <v>85</v>
      </c>
      <c r="G8" s="2">
        <v>0</v>
      </c>
      <c r="H8" s="2">
        <v>5</v>
      </c>
      <c r="I8" s="2" t="s">
        <v>40</v>
      </c>
      <c r="J8" s="2" t="s">
        <v>105</v>
      </c>
      <c r="K8" s="2" t="s">
        <v>106</v>
      </c>
      <c r="L8" s="2" t="s">
        <v>96</v>
      </c>
      <c r="M8" s="2"/>
      <c r="N8" s="2"/>
      <c r="O8" s="2"/>
      <c r="P8" s="2"/>
      <c r="Q8" s="2" t="s">
        <v>97</v>
      </c>
      <c r="R8" s="2" t="b">
        <v>0</v>
      </c>
      <c r="S8" s="2"/>
      <c r="T8" s="2">
        <v>5</v>
      </c>
      <c r="U8" s="2" t="s">
        <v>107</v>
      </c>
      <c r="V8" s="2">
        <v>0</v>
      </c>
      <c r="W8" s="2" t="s">
        <v>45</v>
      </c>
      <c r="X8" s="2" t="s">
        <v>108</v>
      </c>
      <c r="Y8" s="2"/>
      <c r="Z8" s="2" t="s">
        <v>100</v>
      </c>
      <c r="AA8" s="2" t="s">
        <v>48</v>
      </c>
      <c r="AB8" s="2" t="s">
        <v>101</v>
      </c>
      <c r="AC8" s="3">
        <v>46307</v>
      </c>
      <c r="AD8" s="4">
        <f>(LEN(PlannerTasks[[#This Row],[ChecklistSummary]])-LEN(SUBSTITUTE(PlannerTasks[[#This Row],[ChecklistSummary]],"""isChecked"":true","")))/LEN("""isChecked"":true")</f>
        <v>0</v>
      </c>
      <c r="AE8" s="4">
        <f>PlannerTasks[[#This Row],[ChecklistItemCount]]-PlannerTasks[[#This Row],[ChecklistDone]]</f>
        <v>5</v>
      </c>
      <c r="AF8" s="4" t="str">
        <f ca="1">IF(OR(PlannerTasks[[#This Row],[DueDateTime]]="",PlannerTasks[[#This Row],[PercentComplete]]=100),"No",IF(DATEVALUE(LEFT(PlannerTasks[[#This Row],[DueDateTime]],10))&lt;TODAY(),"Yes","No"))</f>
        <v>No</v>
      </c>
      <c r="AG8" s="4">
        <f ca="1">IF(PlannerTasks[[#This Row],[IsOverdue]]="Yes",TODAY()-DATEVALUE(LEFT(PlannerTasks[[#This Row],[DueDateTime]],10)),0)</f>
        <v>0</v>
      </c>
      <c r="AH8" s="4" t="str">
        <f ca="1">IF(OR(PlannerTasks[[#This Row],[DueDateTime]]="",PlannerTasks[[#This Row],[PercentComplete]]=100),"",DATEVALUE(LEFT(PlannerTasks[[#This Row],[DueDateTime]],10))-TODAY())</f>
        <v/>
      </c>
    </row>
    <row r="9" spans="1:34" ht="15" customHeight="1">
      <c r="A9" s="2" t="s">
        <v>109</v>
      </c>
      <c r="B9" s="2" t="s">
        <v>110</v>
      </c>
      <c r="C9" s="2" t="s">
        <v>111</v>
      </c>
      <c r="D9" s="2" t="s">
        <v>37</v>
      </c>
      <c r="E9" s="2" t="s">
        <v>74</v>
      </c>
      <c r="F9" s="2" t="s">
        <v>75</v>
      </c>
      <c r="G9" s="2">
        <v>0</v>
      </c>
      <c r="H9" s="2">
        <v>5</v>
      </c>
      <c r="I9" s="2" t="s">
        <v>40</v>
      </c>
      <c r="J9" s="2" t="s">
        <v>112</v>
      </c>
      <c r="K9" s="2" t="s">
        <v>113</v>
      </c>
      <c r="L9" s="2" t="s">
        <v>43</v>
      </c>
      <c r="M9" s="2"/>
      <c r="N9" s="2"/>
      <c r="O9" s="2"/>
      <c r="P9" s="2"/>
      <c r="Q9" s="2" t="s">
        <v>78</v>
      </c>
      <c r="R9" s="2" t="b">
        <v>0</v>
      </c>
      <c r="S9" s="2"/>
      <c r="T9" s="2">
        <v>0</v>
      </c>
      <c r="U9" s="2" t="s">
        <v>45</v>
      </c>
      <c r="V9" s="2">
        <v>0</v>
      </c>
      <c r="W9" s="2" t="s">
        <v>45</v>
      </c>
      <c r="X9" s="2" t="s">
        <v>114</v>
      </c>
      <c r="Y9" s="2"/>
      <c r="Z9" s="2" t="s">
        <v>47</v>
      </c>
      <c r="AA9" s="2" t="s">
        <v>48</v>
      </c>
      <c r="AB9" s="2" t="s">
        <v>80</v>
      </c>
      <c r="AC9" s="3">
        <v>46307</v>
      </c>
      <c r="AD9" s="4">
        <f>(LEN(PlannerTasks[[#This Row],[ChecklistSummary]])-LEN(SUBSTITUTE(PlannerTasks[[#This Row],[ChecklistSummary]],"""isChecked"":true","")))/LEN("""isChecked"":true")</f>
        <v>0</v>
      </c>
      <c r="AE9" s="4">
        <f>PlannerTasks[[#This Row],[ChecklistItemCount]]-PlannerTasks[[#This Row],[ChecklistDone]]</f>
        <v>0</v>
      </c>
      <c r="AF9" s="4" t="str">
        <f ca="1">IF(OR(PlannerTasks[[#This Row],[DueDateTime]]="",PlannerTasks[[#This Row],[PercentComplete]]=100),"No",IF(DATEVALUE(LEFT(PlannerTasks[[#This Row],[DueDateTime]],10))&lt;TODAY(),"Yes","No"))</f>
        <v>No</v>
      </c>
      <c r="AG9" s="4">
        <f ca="1">IF(PlannerTasks[[#This Row],[IsOverdue]]="Yes",TODAY()-DATEVALUE(LEFT(PlannerTasks[[#This Row],[DueDateTime]],10)),0)</f>
        <v>0</v>
      </c>
      <c r="AH9" s="4" t="str">
        <f ca="1">IF(OR(PlannerTasks[[#This Row],[DueDateTime]]="",PlannerTasks[[#This Row],[PercentComplete]]=100),"",DATEVALUE(LEFT(PlannerTasks[[#This Row],[DueDateTime]],10))-TODAY())</f>
        <v/>
      </c>
    </row>
    <row r="10" spans="1:34" ht="15" customHeight="1">
      <c r="A10" s="2" t="s">
        <v>115</v>
      </c>
      <c r="B10" s="2" t="s">
        <v>116</v>
      </c>
      <c r="C10" s="2" t="s">
        <v>117</v>
      </c>
      <c r="D10" s="2" t="s">
        <v>37</v>
      </c>
      <c r="E10" s="2" t="s">
        <v>74</v>
      </c>
      <c r="F10" s="2" t="s">
        <v>75</v>
      </c>
      <c r="G10" s="2">
        <v>0</v>
      </c>
      <c r="H10" s="2">
        <v>5</v>
      </c>
      <c r="I10" s="2" t="s">
        <v>40</v>
      </c>
      <c r="J10" s="2" t="s">
        <v>118</v>
      </c>
      <c r="K10" s="2" t="s">
        <v>119</v>
      </c>
      <c r="L10" s="2" t="s">
        <v>43</v>
      </c>
      <c r="M10" s="2"/>
      <c r="N10" s="2"/>
      <c r="O10" s="2"/>
      <c r="P10" s="2"/>
      <c r="Q10" s="2" t="s">
        <v>78</v>
      </c>
      <c r="R10" s="2" t="b">
        <v>0</v>
      </c>
      <c r="S10" s="2"/>
      <c r="T10" s="2">
        <v>0</v>
      </c>
      <c r="U10" s="2" t="s">
        <v>45</v>
      </c>
      <c r="V10" s="2">
        <v>0</v>
      </c>
      <c r="W10" s="2" t="s">
        <v>45</v>
      </c>
      <c r="X10" s="2" t="s">
        <v>120</v>
      </c>
      <c r="Y10" s="2"/>
      <c r="Z10" s="2" t="s">
        <v>47</v>
      </c>
      <c r="AA10" s="2" t="s">
        <v>48</v>
      </c>
      <c r="AB10" s="2" t="s">
        <v>80</v>
      </c>
      <c r="AC10" s="3">
        <v>46307</v>
      </c>
      <c r="AD10" s="4">
        <f>(LEN(PlannerTasks[[#This Row],[ChecklistSummary]])-LEN(SUBSTITUTE(PlannerTasks[[#This Row],[ChecklistSummary]],"""isChecked"":true","")))/LEN("""isChecked"":true")</f>
        <v>0</v>
      </c>
      <c r="AE10" s="4">
        <f>PlannerTasks[[#This Row],[ChecklistItemCount]]-PlannerTasks[[#This Row],[ChecklistDone]]</f>
        <v>0</v>
      </c>
      <c r="AF10" s="4" t="str">
        <f ca="1">IF(OR(PlannerTasks[[#This Row],[DueDateTime]]="",PlannerTasks[[#This Row],[PercentComplete]]=100),"No",IF(DATEVALUE(LEFT(PlannerTasks[[#This Row],[DueDateTime]],10))&lt;TODAY(),"Yes","No"))</f>
        <v>No</v>
      </c>
      <c r="AG10" s="4">
        <f ca="1">IF(PlannerTasks[[#This Row],[IsOverdue]]="Yes",TODAY()-DATEVALUE(LEFT(PlannerTasks[[#This Row],[DueDateTime]],10)),0)</f>
        <v>0</v>
      </c>
      <c r="AH10" s="4" t="str">
        <f ca="1">IF(OR(PlannerTasks[[#This Row],[DueDateTime]]="",PlannerTasks[[#This Row],[PercentComplete]]=100),"",DATEVALUE(LEFT(PlannerTasks[[#This Row],[DueDateTime]],10))-TODAY())</f>
        <v/>
      </c>
    </row>
    <row r="11" spans="1:34" ht="15" customHeight="1">
      <c r="A11" s="2" t="s">
        <v>121</v>
      </c>
      <c r="B11" s="2" t="s">
        <v>122</v>
      </c>
      <c r="C11" s="2" t="s">
        <v>123</v>
      </c>
      <c r="D11" s="2" t="s">
        <v>37</v>
      </c>
      <c r="E11" s="2" t="s">
        <v>74</v>
      </c>
      <c r="F11" s="2" t="s">
        <v>75</v>
      </c>
      <c r="G11" s="2">
        <v>0</v>
      </c>
      <c r="H11" s="2">
        <v>5</v>
      </c>
      <c r="I11" s="2" t="s">
        <v>40</v>
      </c>
      <c r="J11" s="2" t="s">
        <v>124</v>
      </c>
      <c r="K11" s="2" t="s">
        <v>125</v>
      </c>
      <c r="L11" s="2" t="s">
        <v>43</v>
      </c>
      <c r="M11" s="2"/>
      <c r="N11" s="2"/>
      <c r="O11" s="2"/>
      <c r="P11" s="2"/>
      <c r="Q11" s="2" t="s">
        <v>78</v>
      </c>
      <c r="R11" s="2" t="b">
        <v>0</v>
      </c>
      <c r="S11" s="2"/>
      <c r="T11" s="2">
        <v>0</v>
      </c>
      <c r="U11" s="2" t="s">
        <v>45</v>
      </c>
      <c r="V11" s="2">
        <v>0</v>
      </c>
      <c r="W11" s="2" t="s">
        <v>45</v>
      </c>
      <c r="X11" s="2" t="s">
        <v>126</v>
      </c>
      <c r="Y11" s="2"/>
      <c r="Z11" s="2" t="s">
        <v>47</v>
      </c>
      <c r="AA11" s="2" t="s">
        <v>48</v>
      </c>
      <c r="AB11" s="2" t="s">
        <v>80</v>
      </c>
      <c r="AC11" s="3">
        <v>46307</v>
      </c>
      <c r="AD11" s="4">
        <f>(LEN(PlannerTasks[[#This Row],[ChecklistSummary]])-LEN(SUBSTITUTE(PlannerTasks[[#This Row],[ChecklistSummary]],"""isChecked"":true","")))/LEN("""isChecked"":true")</f>
        <v>0</v>
      </c>
      <c r="AE11" s="4">
        <f>PlannerTasks[[#This Row],[ChecklistItemCount]]-PlannerTasks[[#This Row],[ChecklistDone]]</f>
        <v>0</v>
      </c>
      <c r="AF11" s="4" t="str">
        <f ca="1">IF(OR(PlannerTasks[[#This Row],[DueDateTime]]="",PlannerTasks[[#This Row],[PercentComplete]]=100),"No",IF(DATEVALUE(LEFT(PlannerTasks[[#This Row],[DueDateTime]],10))&lt;TODAY(),"Yes","No"))</f>
        <v>No</v>
      </c>
      <c r="AG11" s="4">
        <f ca="1">IF(PlannerTasks[[#This Row],[IsOverdue]]="Yes",TODAY()-DATEVALUE(LEFT(PlannerTasks[[#This Row],[DueDateTime]],10)),0)</f>
        <v>0</v>
      </c>
      <c r="AH11" s="4" t="str">
        <f ca="1">IF(OR(PlannerTasks[[#This Row],[DueDateTime]]="",PlannerTasks[[#This Row],[PercentComplete]]=100),"",DATEVALUE(LEFT(PlannerTasks[[#This Row],[DueDateTime]],10))-TODAY())</f>
        <v/>
      </c>
    </row>
    <row r="12" spans="1:34" ht="15" customHeight="1">
      <c r="A12" s="2" t="s">
        <v>127</v>
      </c>
      <c r="B12" s="2" t="s">
        <v>128</v>
      </c>
      <c r="C12" s="2" t="s">
        <v>129</v>
      </c>
      <c r="D12" s="2" t="s">
        <v>37</v>
      </c>
      <c r="E12" s="2" t="s">
        <v>130</v>
      </c>
      <c r="F12" s="2" t="s">
        <v>131</v>
      </c>
      <c r="G12" s="2">
        <v>0</v>
      </c>
      <c r="H12" s="2">
        <v>5</v>
      </c>
      <c r="I12" s="2" t="s">
        <v>40</v>
      </c>
      <c r="J12" s="2" t="s">
        <v>132</v>
      </c>
      <c r="K12" s="2" t="s">
        <v>133</v>
      </c>
      <c r="L12" s="2" t="s">
        <v>96</v>
      </c>
      <c r="M12" s="2"/>
      <c r="N12" s="2"/>
      <c r="O12" s="2"/>
      <c r="P12" s="2"/>
      <c r="Q12" s="2" t="s">
        <v>134</v>
      </c>
      <c r="R12" s="2" t="b">
        <v>0</v>
      </c>
      <c r="S12" s="2"/>
      <c r="T12" s="2">
        <v>2</v>
      </c>
      <c r="U12" s="2" t="s">
        <v>135</v>
      </c>
      <c r="V12" s="2">
        <v>0</v>
      </c>
      <c r="W12" s="2" t="s">
        <v>45</v>
      </c>
      <c r="X12" s="2" t="s">
        <v>136</v>
      </c>
      <c r="Y12" s="2"/>
      <c r="Z12" s="2" t="s">
        <v>100</v>
      </c>
      <c r="AA12" s="2" t="s">
        <v>48</v>
      </c>
      <c r="AB12" s="2" t="s">
        <v>137</v>
      </c>
      <c r="AC12" s="3">
        <v>46307</v>
      </c>
      <c r="AD12" s="4">
        <f>(LEN(PlannerTasks[[#This Row],[ChecklistSummary]])-LEN(SUBSTITUTE(PlannerTasks[[#This Row],[ChecklistSummary]],"""isChecked"":true","")))/LEN("""isChecked"":true")</f>
        <v>0</v>
      </c>
      <c r="AE12" s="4">
        <f>PlannerTasks[[#This Row],[ChecklistItemCount]]-PlannerTasks[[#This Row],[ChecklistDone]]</f>
        <v>2</v>
      </c>
      <c r="AF12" s="4" t="str">
        <f ca="1">IF(OR(PlannerTasks[[#This Row],[DueDateTime]]="",PlannerTasks[[#This Row],[PercentComplete]]=100),"No",IF(DATEVALUE(LEFT(PlannerTasks[[#This Row],[DueDateTime]],10))&lt;TODAY(),"Yes","No"))</f>
        <v>No</v>
      </c>
      <c r="AG12" s="4">
        <f ca="1">IF(PlannerTasks[[#This Row],[IsOverdue]]="Yes",TODAY()-DATEVALUE(LEFT(PlannerTasks[[#This Row],[DueDateTime]],10)),0)</f>
        <v>0</v>
      </c>
      <c r="AH12" s="4" t="str">
        <f ca="1">IF(OR(PlannerTasks[[#This Row],[DueDateTime]]="",PlannerTasks[[#This Row],[PercentComplete]]=100),"",DATEVALUE(LEFT(PlannerTasks[[#This Row],[DueDateTime]],10))-TODAY())</f>
        <v/>
      </c>
    </row>
    <row r="13" spans="1:34" ht="15" customHeight="1">
      <c r="A13" s="2" t="s">
        <v>138</v>
      </c>
      <c r="B13" s="2" t="s">
        <v>139</v>
      </c>
      <c r="C13" s="2" t="s">
        <v>140</v>
      </c>
      <c r="D13" s="2" t="s">
        <v>37</v>
      </c>
      <c r="E13" s="2" t="s">
        <v>84</v>
      </c>
      <c r="F13" s="2" t="s">
        <v>85</v>
      </c>
      <c r="G13" s="2">
        <v>0</v>
      </c>
      <c r="H13" s="2">
        <v>5</v>
      </c>
      <c r="I13" s="2" t="s">
        <v>40</v>
      </c>
      <c r="J13" s="2" t="s">
        <v>141</v>
      </c>
      <c r="K13" s="2" t="s">
        <v>142</v>
      </c>
      <c r="L13" s="2" t="s">
        <v>43</v>
      </c>
      <c r="M13" s="2"/>
      <c r="N13" s="2"/>
      <c r="O13" s="2"/>
      <c r="P13" s="2"/>
      <c r="Q13" s="2" t="s">
        <v>143</v>
      </c>
      <c r="R13" s="2" t="b">
        <v>0</v>
      </c>
      <c r="S13" s="2"/>
      <c r="T13" s="2">
        <v>0</v>
      </c>
      <c r="U13" s="2" t="s">
        <v>45</v>
      </c>
      <c r="V13" s="2">
        <v>0</v>
      </c>
      <c r="W13" s="2" t="s">
        <v>45</v>
      </c>
      <c r="X13" s="2" t="s">
        <v>144</v>
      </c>
      <c r="Y13" s="2"/>
      <c r="Z13" s="2" t="s">
        <v>47</v>
      </c>
      <c r="AA13" s="2" t="s">
        <v>48</v>
      </c>
      <c r="AB13" s="2" t="s">
        <v>145</v>
      </c>
      <c r="AC13" s="3">
        <v>46307</v>
      </c>
      <c r="AD13" s="4">
        <f>(LEN(PlannerTasks[[#This Row],[ChecklistSummary]])-LEN(SUBSTITUTE(PlannerTasks[[#This Row],[ChecklistSummary]],"""isChecked"":true","")))/LEN("""isChecked"":true")</f>
        <v>0</v>
      </c>
      <c r="AE13" s="4">
        <f>PlannerTasks[[#This Row],[ChecklistItemCount]]-PlannerTasks[[#This Row],[ChecklistDone]]</f>
        <v>0</v>
      </c>
      <c r="AF13" s="4" t="str">
        <f ca="1">IF(OR(PlannerTasks[[#This Row],[DueDateTime]]="",PlannerTasks[[#This Row],[PercentComplete]]=100),"No",IF(DATEVALUE(LEFT(PlannerTasks[[#This Row],[DueDateTime]],10))&lt;TODAY(),"Yes","No"))</f>
        <v>No</v>
      </c>
      <c r="AG13" s="4">
        <f ca="1">IF(PlannerTasks[[#This Row],[IsOverdue]]="Yes",TODAY()-DATEVALUE(LEFT(PlannerTasks[[#This Row],[DueDateTime]],10)),0)</f>
        <v>0</v>
      </c>
      <c r="AH13" s="4" t="str">
        <f ca="1">IF(OR(PlannerTasks[[#This Row],[DueDateTime]]="",PlannerTasks[[#This Row],[PercentComplete]]=100),"",DATEVALUE(LEFT(PlannerTasks[[#This Row],[DueDateTime]],10))-TODAY())</f>
        <v/>
      </c>
    </row>
    <row r="14" spans="1:34" ht="15" customHeight="1">
      <c r="A14" s="2" t="s">
        <v>146</v>
      </c>
      <c r="B14" s="2" t="s">
        <v>147</v>
      </c>
      <c r="C14" s="2" t="s">
        <v>148</v>
      </c>
      <c r="D14" s="2" t="s">
        <v>37</v>
      </c>
      <c r="E14" s="2" t="s">
        <v>38</v>
      </c>
      <c r="F14" s="2" t="s">
        <v>39</v>
      </c>
      <c r="G14" s="2">
        <v>0</v>
      </c>
      <c r="H14" s="2">
        <v>5</v>
      </c>
      <c r="I14" s="2" t="s">
        <v>40</v>
      </c>
      <c r="J14" s="2" t="s">
        <v>67</v>
      </c>
      <c r="K14" s="2" t="s">
        <v>149</v>
      </c>
      <c r="L14" s="2" t="s">
        <v>96</v>
      </c>
      <c r="M14" s="2"/>
      <c r="N14" s="2"/>
      <c r="O14" s="2"/>
      <c r="P14" s="2"/>
      <c r="Q14" s="2" t="s">
        <v>67</v>
      </c>
      <c r="R14" s="2" t="b">
        <v>0</v>
      </c>
      <c r="S14" s="2"/>
      <c r="T14" s="2">
        <v>0</v>
      </c>
      <c r="U14" s="2" t="s">
        <v>45</v>
      </c>
      <c r="V14" s="2">
        <v>0</v>
      </c>
      <c r="W14" s="2" t="s">
        <v>45</v>
      </c>
      <c r="X14" s="2" t="s">
        <v>150</v>
      </c>
      <c r="Y14" s="2"/>
      <c r="Z14" s="2"/>
      <c r="AA14" s="2" t="s">
        <v>48</v>
      </c>
      <c r="AB14" s="2"/>
      <c r="AC14" s="3"/>
      <c r="AD14" s="4">
        <f>(LEN(PlannerTasks[[#This Row],[ChecklistSummary]])-LEN(SUBSTITUTE(PlannerTasks[[#This Row],[ChecklistSummary]],"""isChecked"":true","")))/LEN("""isChecked"":true")</f>
        <v>0</v>
      </c>
      <c r="AE14" s="4">
        <f>PlannerTasks[[#This Row],[ChecklistItemCount]]-PlannerTasks[[#This Row],[ChecklistDone]]</f>
        <v>0</v>
      </c>
      <c r="AF14" s="4" t="str">
        <f ca="1">IF(OR(PlannerTasks[[#This Row],[DueDateTime]]="",PlannerTasks[[#This Row],[PercentComplete]]=100),"No",IF(DATEVALUE(LEFT(PlannerTasks[[#This Row],[DueDateTime]],10))&lt;TODAY(),"Yes","No"))</f>
        <v>No</v>
      </c>
      <c r="AG14" s="4">
        <f ca="1">IF(PlannerTasks[[#This Row],[IsOverdue]]="Yes",TODAY()-DATEVALUE(LEFT(PlannerTasks[[#This Row],[DueDateTime]],10)),0)</f>
        <v>0</v>
      </c>
      <c r="AH14" s="4" t="str">
        <f ca="1">IF(OR(PlannerTasks[[#This Row],[DueDateTime]]="",PlannerTasks[[#This Row],[PercentComplete]]=100),"",DATEVALUE(LEFT(PlannerTasks[[#This Row],[DueDateTime]],10))-TODAY())</f>
        <v/>
      </c>
    </row>
    <row r="15" spans="1:34" ht="15" customHeight="1">
      <c r="A15" s="2" t="s">
        <v>151</v>
      </c>
      <c r="B15" s="2" t="s">
        <v>152</v>
      </c>
      <c r="C15" s="2" t="s">
        <v>153</v>
      </c>
      <c r="D15" s="2" t="s">
        <v>37</v>
      </c>
      <c r="E15" s="2" t="s">
        <v>84</v>
      </c>
      <c r="F15" s="2" t="s">
        <v>85</v>
      </c>
      <c r="G15" s="2">
        <v>0</v>
      </c>
      <c r="H15" s="2">
        <v>5</v>
      </c>
      <c r="I15" s="2" t="s">
        <v>40</v>
      </c>
      <c r="J15" s="2" t="s">
        <v>154</v>
      </c>
      <c r="K15" s="2" t="s">
        <v>155</v>
      </c>
      <c r="L15" s="2" t="s">
        <v>96</v>
      </c>
      <c r="M15" s="2"/>
      <c r="N15" s="2"/>
      <c r="O15" s="2"/>
      <c r="P15" s="2"/>
      <c r="Q15" s="2" t="s">
        <v>156</v>
      </c>
      <c r="R15" s="2" t="b">
        <v>0</v>
      </c>
      <c r="S15" s="2"/>
      <c r="T15" s="2">
        <v>0</v>
      </c>
      <c r="U15" s="2" t="s">
        <v>45</v>
      </c>
      <c r="V15" s="2">
        <v>0</v>
      </c>
      <c r="W15" s="2" t="s">
        <v>45</v>
      </c>
      <c r="X15" s="2" t="s">
        <v>157</v>
      </c>
      <c r="Y15" s="2"/>
      <c r="Z15" s="2" t="s">
        <v>100</v>
      </c>
      <c r="AA15" s="2" t="s">
        <v>48</v>
      </c>
      <c r="AB15" s="2" t="s">
        <v>158</v>
      </c>
      <c r="AC15" s="3">
        <v>46304</v>
      </c>
      <c r="AD15" s="4">
        <f>(LEN(PlannerTasks[[#This Row],[ChecklistSummary]])-LEN(SUBSTITUTE(PlannerTasks[[#This Row],[ChecklistSummary]],"""isChecked"":true","")))/LEN("""isChecked"":true")</f>
        <v>0</v>
      </c>
      <c r="AE15" s="4">
        <f>PlannerTasks[[#This Row],[ChecklistItemCount]]-PlannerTasks[[#This Row],[ChecklistDone]]</f>
        <v>0</v>
      </c>
      <c r="AF15" s="4" t="str">
        <f ca="1">IF(OR(PlannerTasks[[#This Row],[DueDateTime]]="",PlannerTasks[[#This Row],[PercentComplete]]=100),"No",IF(DATEVALUE(LEFT(PlannerTasks[[#This Row],[DueDateTime]],10))&lt;TODAY(),"Yes","No"))</f>
        <v>No</v>
      </c>
      <c r="AG15" s="4">
        <f ca="1">IF(PlannerTasks[[#This Row],[IsOverdue]]="Yes",TODAY()-DATEVALUE(LEFT(PlannerTasks[[#This Row],[DueDateTime]],10)),0)</f>
        <v>0</v>
      </c>
      <c r="AH15" s="4" t="str">
        <f ca="1">IF(OR(PlannerTasks[[#This Row],[DueDateTime]]="",PlannerTasks[[#This Row],[PercentComplete]]=100),"",DATEVALUE(LEFT(PlannerTasks[[#This Row],[DueDateTime]],10))-TODAY())</f>
        <v/>
      </c>
    </row>
    <row r="16" spans="1:34" ht="15" customHeight="1">
      <c r="A16" s="2" t="s">
        <v>159</v>
      </c>
      <c r="B16" s="2" t="s">
        <v>160</v>
      </c>
      <c r="C16" s="2" t="s">
        <v>161</v>
      </c>
      <c r="D16" s="2" t="s">
        <v>37</v>
      </c>
      <c r="E16" s="2" t="s">
        <v>84</v>
      </c>
      <c r="F16" s="2" t="s">
        <v>85</v>
      </c>
      <c r="G16" s="2">
        <v>0</v>
      </c>
      <c r="H16" s="2">
        <v>5</v>
      </c>
      <c r="I16" s="2" t="s">
        <v>40</v>
      </c>
      <c r="J16" s="2" t="s">
        <v>162</v>
      </c>
      <c r="K16" s="2" t="s">
        <v>163</v>
      </c>
      <c r="L16" s="2" t="s">
        <v>96</v>
      </c>
      <c r="M16" s="2"/>
      <c r="N16" s="2"/>
      <c r="O16" s="2"/>
      <c r="P16" s="2"/>
      <c r="Q16" s="2" t="s">
        <v>97</v>
      </c>
      <c r="R16" s="2" t="b">
        <v>0</v>
      </c>
      <c r="S16" s="2"/>
      <c r="T16" s="2">
        <v>0</v>
      </c>
      <c r="U16" s="2" t="s">
        <v>45</v>
      </c>
      <c r="V16" s="2">
        <v>0</v>
      </c>
      <c r="W16" s="2" t="s">
        <v>45</v>
      </c>
      <c r="X16" s="2" t="s">
        <v>164</v>
      </c>
      <c r="Y16" s="2"/>
      <c r="Z16" s="2" t="s">
        <v>100</v>
      </c>
      <c r="AA16" s="2" t="s">
        <v>48</v>
      </c>
      <c r="AB16" s="2" t="s">
        <v>101</v>
      </c>
      <c r="AC16" s="3">
        <v>46304</v>
      </c>
      <c r="AD16" s="4">
        <f>(LEN(PlannerTasks[[#This Row],[ChecklistSummary]])-LEN(SUBSTITUTE(PlannerTasks[[#This Row],[ChecklistSummary]],"""isChecked"":true","")))/LEN("""isChecked"":true")</f>
        <v>0</v>
      </c>
      <c r="AE16" s="4">
        <f>PlannerTasks[[#This Row],[ChecklistItemCount]]-PlannerTasks[[#This Row],[ChecklistDone]]</f>
        <v>0</v>
      </c>
      <c r="AF16" s="4" t="str">
        <f ca="1">IF(OR(PlannerTasks[[#This Row],[DueDateTime]]="",PlannerTasks[[#This Row],[PercentComplete]]=100),"No",IF(DATEVALUE(LEFT(PlannerTasks[[#This Row],[DueDateTime]],10))&lt;TODAY(),"Yes","No"))</f>
        <v>No</v>
      </c>
      <c r="AG16" s="4">
        <f ca="1">IF(PlannerTasks[[#This Row],[IsOverdue]]="Yes",TODAY()-DATEVALUE(LEFT(PlannerTasks[[#This Row],[DueDateTime]],10)),0)</f>
        <v>0</v>
      </c>
      <c r="AH16" s="4" t="str">
        <f ca="1">IF(OR(PlannerTasks[[#This Row],[DueDateTime]]="",PlannerTasks[[#This Row],[PercentComplete]]=100),"",DATEVALUE(LEFT(PlannerTasks[[#This Row],[DueDateTime]],10))-TODAY())</f>
        <v/>
      </c>
    </row>
    <row r="17" spans="1:34" ht="15" customHeight="1">
      <c r="A17" s="2" t="s">
        <v>165</v>
      </c>
      <c r="B17" s="2" t="s">
        <v>166</v>
      </c>
      <c r="C17" s="2" t="s">
        <v>167</v>
      </c>
      <c r="D17" s="2" t="s">
        <v>37</v>
      </c>
      <c r="E17" s="2" t="s">
        <v>84</v>
      </c>
      <c r="F17" s="2" t="s">
        <v>85</v>
      </c>
      <c r="G17" s="2">
        <v>0</v>
      </c>
      <c r="H17" s="2">
        <v>5</v>
      </c>
      <c r="I17" s="2" t="s">
        <v>40</v>
      </c>
      <c r="J17" s="2" t="s">
        <v>168</v>
      </c>
      <c r="K17" s="2" t="s">
        <v>169</v>
      </c>
      <c r="L17" s="2" t="s">
        <v>96</v>
      </c>
      <c r="M17" s="2"/>
      <c r="N17" s="2"/>
      <c r="O17" s="2"/>
      <c r="P17" s="2"/>
      <c r="Q17" s="2" t="s">
        <v>156</v>
      </c>
      <c r="R17" s="2" t="b">
        <v>0</v>
      </c>
      <c r="S17" s="2"/>
      <c r="T17" s="2">
        <v>5</v>
      </c>
      <c r="U17" s="2" t="s">
        <v>170</v>
      </c>
      <c r="V17" s="2">
        <v>0</v>
      </c>
      <c r="W17" s="2" t="s">
        <v>45</v>
      </c>
      <c r="X17" s="2" t="s">
        <v>171</v>
      </c>
      <c r="Y17" s="2"/>
      <c r="Z17" s="2" t="s">
        <v>100</v>
      </c>
      <c r="AA17" s="2" t="s">
        <v>48</v>
      </c>
      <c r="AB17" s="2" t="s">
        <v>158</v>
      </c>
      <c r="AC17" s="3">
        <v>46304</v>
      </c>
      <c r="AD17" s="4">
        <f>(LEN(PlannerTasks[[#This Row],[ChecklistSummary]])-LEN(SUBSTITUTE(PlannerTasks[[#This Row],[ChecklistSummary]],"""isChecked"":true","")))/LEN("""isChecked"":true")</f>
        <v>0</v>
      </c>
      <c r="AE17" s="4">
        <f>PlannerTasks[[#This Row],[ChecklistItemCount]]-PlannerTasks[[#This Row],[ChecklistDone]]</f>
        <v>5</v>
      </c>
      <c r="AF17" s="4" t="str">
        <f ca="1">IF(OR(PlannerTasks[[#This Row],[DueDateTime]]="",PlannerTasks[[#This Row],[PercentComplete]]=100),"No",IF(DATEVALUE(LEFT(PlannerTasks[[#This Row],[DueDateTime]],10))&lt;TODAY(),"Yes","No"))</f>
        <v>No</v>
      </c>
      <c r="AG17" s="4">
        <f ca="1">IF(PlannerTasks[[#This Row],[IsOverdue]]="Yes",TODAY()-DATEVALUE(LEFT(PlannerTasks[[#This Row],[DueDateTime]],10)),0)</f>
        <v>0</v>
      </c>
      <c r="AH17" s="4" t="str">
        <f ca="1">IF(OR(PlannerTasks[[#This Row],[DueDateTime]]="",PlannerTasks[[#This Row],[PercentComplete]]=100),"",DATEVALUE(LEFT(PlannerTasks[[#This Row],[DueDateTime]],10))-TODAY())</f>
        <v/>
      </c>
    </row>
    <row r="18" spans="1:34" ht="15" customHeight="1">
      <c r="A18" s="2" t="s">
        <v>172</v>
      </c>
      <c r="B18" s="2" t="s">
        <v>173</v>
      </c>
      <c r="C18" s="2" t="s">
        <v>174</v>
      </c>
      <c r="D18" s="2" t="s">
        <v>37</v>
      </c>
      <c r="E18" s="2" t="s">
        <v>84</v>
      </c>
      <c r="F18" s="2" t="s">
        <v>85</v>
      </c>
      <c r="G18" s="2">
        <v>0</v>
      </c>
      <c r="H18" s="2">
        <v>5</v>
      </c>
      <c r="I18" s="2" t="s">
        <v>40</v>
      </c>
      <c r="J18" s="2" t="s">
        <v>175</v>
      </c>
      <c r="K18" s="2" t="s">
        <v>176</v>
      </c>
      <c r="L18" s="2" t="s">
        <v>96</v>
      </c>
      <c r="M18" s="2"/>
      <c r="N18" s="2"/>
      <c r="O18" s="2"/>
      <c r="P18" s="2"/>
      <c r="Q18" s="2" t="s">
        <v>177</v>
      </c>
      <c r="R18" s="2" t="b">
        <v>0</v>
      </c>
      <c r="S18" s="2"/>
      <c r="T18" s="2">
        <v>0</v>
      </c>
      <c r="U18" s="2" t="s">
        <v>45</v>
      </c>
      <c r="V18" s="2">
        <v>0</v>
      </c>
      <c r="W18" s="2" t="s">
        <v>45</v>
      </c>
      <c r="X18" s="2" t="s">
        <v>178</v>
      </c>
      <c r="Y18" s="2"/>
      <c r="Z18" s="2" t="s">
        <v>100</v>
      </c>
      <c r="AA18" s="2" t="s">
        <v>48</v>
      </c>
      <c r="AB18" s="2" t="s">
        <v>179</v>
      </c>
      <c r="AC18" s="3">
        <v>46304</v>
      </c>
      <c r="AD18" s="4">
        <f>(LEN(PlannerTasks[[#This Row],[ChecklistSummary]])-LEN(SUBSTITUTE(PlannerTasks[[#This Row],[ChecklistSummary]],"""isChecked"":true","")))/LEN("""isChecked"":true")</f>
        <v>0</v>
      </c>
      <c r="AE18" s="4">
        <f>PlannerTasks[[#This Row],[ChecklistItemCount]]-PlannerTasks[[#This Row],[ChecklistDone]]</f>
        <v>0</v>
      </c>
      <c r="AF18" s="4" t="str">
        <f ca="1">IF(OR(PlannerTasks[[#This Row],[DueDateTime]]="",PlannerTasks[[#This Row],[PercentComplete]]=100),"No",IF(DATEVALUE(LEFT(PlannerTasks[[#This Row],[DueDateTime]],10))&lt;TODAY(),"Yes","No"))</f>
        <v>No</v>
      </c>
      <c r="AG18" s="4">
        <f ca="1">IF(PlannerTasks[[#This Row],[IsOverdue]]="Yes",TODAY()-DATEVALUE(LEFT(PlannerTasks[[#This Row],[DueDateTime]],10)),0)</f>
        <v>0</v>
      </c>
      <c r="AH18" s="4" t="str">
        <f ca="1">IF(OR(PlannerTasks[[#This Row],[DueDateTime]]="",PlannerTasks[[#This Row],[PercentComplete]]=100),"",DATEVALUE(LEFT(PlannerTasks[[#This Row],[DueDateTime]],10))-TODAY())</f>
        <v/>
      </c>
    </row>
    <row r="19" spans="1:34" ht="15" customHeight="1">
      <c r="A19" s="2" t="s">
        <v>180</v>
      </c>
      <c r="B19" s="2" t="s">
        <v>181</v>
      </c>
      <c r="C19" s="2" t="s">
        <v>182</v>
      </c>
      <c r="D19" s="2" t="s">
        <v>37</v>
      </c>
      <c r="E19" s="2" t="s">
        <v>130</v>
      </c>
      <c r="F19" s="2" t="s">
        <v>131</v>
      </c>
      <c r="G19" s="2">
        <v>0</v>
      </c>
      <c r="H19" s="2">
        <v>5</v>
      </c>
      <c r="I19" s="2" t="s">
        <v>40</v>
      </c>
      <c r="J19" s="2" t="s">
        <v>183</v>
      </c>
      <c r="K19" s="2" t="s">
        <v>184</v>
      </c>
      <c r="L19" s="2" t="s">
        <v>96</v>
      </c>
      <c r="M19" s="2"/>
      <c r="N19" s="2" t="s">
        <v>185</v>
      </c>
      <c r="O19" s="2"/>
      <c r="P19" s="2"/>
      <c r="Q19" s="2" t="s">
        <v>186</v>
      </c>
      <c r="R19" s="2" t="b">
        <v>1</v>
      </c>
      <c r="S19" s="2" t="s">
        <v>187</v>
      </c>
      <c r="T19" s="2">
        <v>0</v>
      </c>
      <c r="U19" s="2" t="s">
        <v>45</v>
      </c>
      <c r="V19" s="2">
        <v>0</v>
      </c>
      <c r="W19" s="2" t="s">
        <v>45</v>
      </c>
      <c r="X19" s="2">
        <v>8.5841006719277701E+18</v>
      </c>
      <c r="Y19" s="2"/>
      <c r="Z19" s="2" t="s">
        <v>70</v>
      </c>
      <c r="AA19" s="2" t="s">
        <v>48</v>
      </c>
      <c r="AB19" s="2" t="s">
        <v>188</v>
      </c>
      <c r="AC19" s="3">
        <v>46308</v>
      </c>
      <c r="AD19" s="4">
        <f>(LEN(PlannerTasks[[#This Row],[ChecklistSummary]])-LEN(SUBSTITUTE(PlannerTasks[[#This Row],[ChecklistSummary]],"""isChecked"":true","")))/LEN("""isChecked"":true")</f>
        <v>0</v>
      </c>
      <c r="AE19" s="4">
        <f>PlannerTasks[[#This Row],[ChecklistItemCount]]-PlannerTasks[[#This Row],[ChecklistDone]]</f>
        <v>0</v>
      </c>
      <c r="AF19" s="4" t="str">
        <f ca="1">IF(OR(PlannerTasks[[#This Row],[DueDateTime]]="",PlannerTasks[[#This Row],[PercentComplete]]=100),"No",IF(DATEVALUE(LEFT(PlannerTasks[[#This Row],[DueDateTime]],10))&lt;TODAY(),"Yes","No"))</f>
        <v>No</v>
      </c>
      <c r="AG19" s="4">
        <f ca="1">IF(PlannerTasks[[#This Row],[IsOverdue]]="Yes",TODAY()-DATEVALUE(LEFT(PlannerTasks[[#This Row],[DueDateTime]],10)),0)</f>
        <v>0</v>
      </c>
      <c r="AH19" s="4">
        <f ca="1">IF(OR(PlannerTasks[[#This Row],[DueDateTime]]="",PlannerTasks[[#This Row],[PercentComplete]]=100),"",DATEVALUE(LEFT(PlannerTasks[[#This Row],[DueDateTime]],10))-TODAY())</f>
        <v>12</v>
      </c>
    </row>
    <row r="20" spans="1:34" ht="15" customHeight="1">
      <c r="A20" s="2" t="s">
        <v>189</v>
      </c>
      <c r="B20" s="2" t="s">
        <v>190</v>
      </c>
      <c r="C20" s="2" t="s">
        <v>191</v>
      </c>
      <c r="D20" s="2" t="s">
        <v>37</v>
      </c>
      <c r="E20" s="2" t="s">
        <v>84</v>
      </c>
      <c r="F20" s="2" t="s">
        <v>85</v>
      </c>
      <c r="G20" s="2">
        <v>0</v>
      </c>
      <c r="H20" s="2">
        <v>5</v>
      </c>
      <c r="I20" s="2" t="s">
        <v>40</v>
      </c>
      <c r="J20" s="2" t="s">
        <v>192</v>
      </c>
      <c r="K20" s="2" t="s">
        <v>193</v>
      </c>
      <c r="L20" s="2" t="s">
        <v>194</v>
      </c>
      <c r="M20" s="2"/>
      <c r="N20" s="2" t="s">
        <v>195</v>
      </c>
      <c r="O20" s="2"/>
      <c r="P20" s="2"/>
      <c r="Q20" s="2" t="s">
        <v>67</v>
      </c>
      <c r="R20" s="2" t="b">
        <v>0</v>
      </c>
      <c r="S20" s="2"/>
      <c r="T20" s="2">
        <v>0</v>
      </c>
      <c r="U20" s="2" t="s">
        <v>45</v>
      </c>
      <c r="V20" s="2">
        <v>0</v>
      </c>
      <c r="W20" s="2" t="s">
        <v>45</v>
      </c>
      <c r="X20" s="2" t="s">
        <v>196</v>
      </c>
      <c r="Y20" s="2"/>
      <c r="Z20" s="2" t="s">
        <v>70</v>
      </c>
      <c r="AA20" s="2" t="s">
        <v>48</v>
      </c>
      <c r="AB20" s="2"/>
      <c r="AC20" s="3">
        <v>46304</v>
      </c>
      <c r="AD20" s="4">
        <f>(LEN(PlannerTasks[[#This Row],[ChecklistSummary]])-LEN(SUBSTITUTE(PlannerTasks[[#This Row],[ChecklistSummary]],"""isChecked"":true","")))/LEN("""isChecked"":true")</f>
        <v>0</v>
      </c>
      <c r="AE20" s="4">
        <f>PlannerTasks[[#This Row],[ChecklistItemCount]]-PlannerTasks[[#This Row],[ChecklistDone]]</f>
        <v>0</v>
      </c>
      <c r="AF20" s="4" t="str">
        <f ca="1">IF(OR(PlannerTasks[[#This Row],[DueDateTime]]="",PlannerTasks[[#This Row],[PercentComplete]]=100),"No",IF(DATEVALUE(LEFT(PlannerTasks[[#This Row],[DueDateTime]],10))&lt;TODAY(),"Yes","No"))</f>
        <v>No</v>
      </c>
      <c r="AG20" s="4">
        <f ca="1">IF(PlannerTasks[[#This Row],[IsOverdue]]="Yes",TODAY()-DATEVALUE(LEFT(PlannerTasks[[#This Row],[DueDateTime]],10)),0)</f>
        <v>0</v>
      </c>
      <c r="AH20" s="4">
        <f ca="1">IF(OR(PlannerTasks[[#This Row],[DueDateTime]]="",PlannerTasks[[#This Row],[PercentComplete]]=100),"",DATEVALUE(LEFT(PlannerTasks[[#This Row],[DueDateTime]],10))-TODAY())</f>
        <v>1</v>
      </c>
    </row>
    <row r="21" spans="1:34" ht="15" customHeight="1">
      <c r="A21" s="2" t="s">
        <v>197</v>
      </c>
      <c r="B21" s="2" t="s">
        <v>198</v>
      </c>
      <c r="C21" s="2" t="s">
        <v>199</v>
      </c>
      <c r="D21" s="2" t="s">
        <v>37</v>
      </c>
      <c r="E21" s="2" t="s">
        <v>38</v>
      </c>
      <c r="F21" s="2" t="s">
        <v>39</v>
      </c>
      <c r="G21" s="2">
        <v>0</v>
      </c>
      <c r="H21" s="2">
        <v>5</v>
      </c>
      <c r="I21" s="2" t="s">
        <v>40</v>
      </c>
      <c r="J21" s="2" t="s">
        <v>200</v>
      </c>
      <c r="K21" s="2" t="s">
        <v>201</v>
      </c>
      <c r="L21" s="2" t="s">
        <v>43</v>
      </c>
      <c r="M21" s="2"/>
      <c r="N21" s="2"/>
      <c r="O21" s="2"/>
      <c r="P21" s="2"/>
      <c r="Q21" s="2" t="s">
        <v>202</v>
      </c>
      <c r="R21" s="2" t="b">
        <v>0</v>
      </c>
      <c r="S21" s="2"/>
      <c r="T21" s="2">
        <v>0</v>
      </c>
      <c r="U21" s="2" t="s">
        <v>45</v>
      </c>
      <c r="V21" s="2">
        <v>0</v>
      </c>
      <c r="W21" s="2" t="s">
        <v>45</v>
      </c>
      <c r="X21" s="2" t="s">
        <v>203</v>
      </c>
      <c r="Y21" s="2"/>
      <c r="Z21" s="2" t="s">
        <v>47</v>
      </c>
      <c r="AA21" s="2" t="s">
        <v>48</v>
      </c>
      <c r="AB21" s="2" t="s">
        <v>204</v>
      </c>
      <c r="AC21" s="3">
        <v>46304</v>
      </c>
      <c r="AD21" s="4">
        <f>(LEN(PlannerTasks[[#This Row],[ChecklistSummary]])-LEN(SUBSTITUTE(PlannerTasks[[#This Row],[ChecklistSummary]],"""isChecked"":true","")))/LEN("""isChecked"":true")</f>
        <v>0</v>
      </c>
      <c r="AE21" s="4">
        <f>PlannerTasks[[#This Row],[ChecklistItemCount]]-PlannerTasks[[#This Row],[ChecklistDone]]</f>
        <v>0</v>
      </c>
      <c r="AF21" s="4" t="str">
        <f ca="1">IF(OR(PlannerTasks[[#This Row],[DueDateTime]]="",PlannerTasks[[#This Row],[PercentComplete]]=100),"No",IF(DATEVALUE(LEFT(PlannerTasks[[#This Row],[DueDateTime]],10))&lt;TODAY(),"Yes","No"))</f>
        <v>No</v>
      </c>
      <c r="AG21" s="4">
        <f ca="1">IF(PlannerTasks[[#This Row],[IsOverdue]]="Yes",TODAY()-DATEVALUE(LEFT(PlannerTasks[[#This Row],[DueDateTime]],10)),0)</f>
        <v>0</v>
      </c>
      <c r="AH21" s="4" t="str">
        <f ca="1">IF(OR(PlannerTasks[[#This Row],[DueDateTime]]="",PlannerTasks[[#This Row],[PercentComplete]]=100),"",DATEVALUE(LEFT(PlannerTasks[[#This Row],[DueDateTime]],10))-TODAY())</f>
        <v/>
      </c>
    </row>
    <row r="22" spans="1:34" ht="15" customHeight="1">
      <c r="A22" s="2" t="s">
        <v>205</v>
      </c>
      <c r="B22" s="2" t="s">
        <v>206</v>
      </c>
      <c r="C22" s="2" t="s">
        <v>207</v>
      </c>
      <c r="D22" s="2" t="s">
        <v>37</v>
      </c>
      <c r="E22" s="2" t="s">
        <v>208</v>
      </c>
      <c r="F22" s="2" t="s">
        <v>209</v>
      </c>
      <c r="G22" s="2">
        <v>0</v>
      </c>
      <c r="H22" s="2">
        <v>5</v>
      </c>
      <c r="I22" s="2" t="s">
        <v>40</v>
      </c>
      <c r="J22" s="2" t="s">
        <v>210</v>
      </c>
      <c r="K22" s="2" t="s">
        <v>211</v>
      </c>
      <c r="L22" s="2" t="s">
        <v>43</v>
      </c>
      <c r="M22" s="2"/>
      <c r="N22" s="2"/>
      <c r="O22" s="2"/>
      <c r="P22" s="2"/>
      <c r="Q22" s="2" t="s">
        <v>78</v>
      </c>
      <c r="R22" s="2" t="b">
        <v>0</v>
      </c>
      <c r="S22" s="2"/>
      <c r="T22" s="2">
        <v>0</v>
      </c>
      <c r="U22" s="2" t="s">
        <v>45</v>
      </c>
      <c r="V22" s="2">
        <v>0</v>
      </c>
      <c r="W22" s="2" t="s">
        <v>45</v>
      </c>
      <c r="X22" s="2" t="s">
        <v>212</v>
      </c>
      <c r="Y22" s="2"/>
      <c r="Z22" s="2" t="s">
        <v>47</v>
      </c>
      <c r="AA22" s="2" t="s">
        <v>48</v>
      </c>
      <c r="AB22" s="2" t="s">
        <v>80</v>
      </c>
      <c r="AC22" s="3">
        <v>46304</v>
      </c>
      <c r="AD22" s="4">
        <f>(LEN(PlannerTasks[[#This Row],[ChecklistSummary]])-LEN(SUBSTITUTE(PlannerTasks[[#This Row],[ChecklistSummary]],"""isChecked"":true","")))/LEN("""isChecked"":true")</f>
        <v>0</v>
      </c>
      <c r="AE22" s="4">
        <f>PlannerTasks[[#This Row],[ChecklistItemCount]]-PlannerTasks[[#This Row],[ChecklistDone]]</f>
        <v>0</v>
      </c>
      <c r="AF22" s="4" t="str">
        <f ca="1">IF(OR(PlannerTasks[[#This Row],[DueDateTime]]="",PlannerTasks[[#This Row],[PercentComplete]]=100),"No",IF(DATEVALUE(LEFT(PlannerTasks[[#This Row],[DueDateTime]],10))&lt;TODAY(),"Yes","No"))</f>
        <v>No</v>
      </c>
      <c r="AG22" s="4">
        <f ca="1">IF(PlannerTasks[[#This Row],[IsOverdue]]="Yes",TODAY()-DATEVALUE(LEFT(PlannerTasks[[#This Row],[DueDateTime]],10)),0)</f>
        <v>0</v>
      </c>
      <c r="AH22" s="4" t="str">
        <f ca="1">IF(OR(PlannerTasks[[#This Row],[DueDateTime]]="",PlannerTasks[[#This Row],[PercentComplete]]=100),"",DATEVALUE(LEFT(PlannerTasks[[#This Row],[DueDateTime]],10))-TODAY())</f>
        <v/>
      </c>
    </row>
    <row r="23" spans="1:34" ht="15" customHeight="1">
      <c r="A23" s="2" t="s">
        <v>213</v>
      </c>
      <c r="B23" s="2" t="s">
        <v>214</v>
      </c>
      <c r="C23" s="2" t="s">
        <v>215</v>
      </c>
      <c r="D23" s="2" t="s">
        <v>37</v>
      </c>
      <c r="E23" s="2" t="s">
        <v>84</v>
      </c>
      <c r="F23" s="2" t="s">
        <v>85</v>
      </c>
      <c r="G23" s="2">
        <v>0</v>
      </c>
      <c r="H23" s="2">
        <v>5</v>
      </c>
      <c r="I23" s="2" t="s">
        <v>40</v>
      </c>
      <c r="J23" s="2" t="s">
        <v>216</v>
      </c>
      <c r="K23" s="2" t="s">
        <v>217</v>
      </c>
      <c r="L23" s="2" t="s">
        <v>96</v>
      </c>
      <c r="M23" s="2"/>
      <c r="N23" s="2" t="s">
        <v>218</v>
      </c>
      <c r="O23" s="2"/>
      <c r="P23" s="2"/>
      <c r="Q23" s="2" t="s">
        <v>219</v>
      </c>
      <c r="R23" s="2" t="b">
        <v>1</v>
      </c>
      <c r="S23" s="2" t="s">
        <v>220</v>
      </c>
      <c r="T23" s="2">
        <v>6</v>
      </c>
      <c r="U23" s="2" t="s">
        <v>221</v>
      </c>
      <c r="V23" s="2">
        <v>0</v>
      </c>
      <c r="W23" s="2" t="s">
        <v>45</v>
      </c>
      <c r="X23" s="2" t="s">
        <v>222</v>
      </c>
      <c r="Y23" s="2"/>
      <c r="Z23" s="2" t="s">
        <v>100</v>
      </c>
      <c r="AA23" s="2" t="s">
        <v>48</v>
      </c>
      <c r="AB23" s="2" t="s">
        <v>223</v>
      </c>
      <c r="AC23" s="3">
        <v>46304</v>
      </c>
      <c r="AD23" s="4">
        <f>(LEN(PlannerTasks[[#This Row],[ChecklistSummary]])-LEN(SUBSTITUTE(PlannerTasks[[#This Row],[ChecklistSummary]],"""isChecked"":true","")))/LEN("""isChecked"":true")</f>
        <v>1</v>
      </c>
      <c r="AE23" s="4">
        <f>PlannerTasks[[#This Row],[ChecklistItemCount]]-PlannerTasks[[#This Row],[ChecklistDone]]</f>
        <v>5</v>
      </c>
      <c r="AF23" s="4" t="str">
        <f ca="1">IF(OR(PlannerTasks[[#This Row],[DueDateTime]]="",PlannerTasks[[#This Row],[PercentComplete]]=100),"No",IF(DATEVALUE(LEFT(PlannerTasks[[#This Row],[DueDateTime]],10))&lt;TODAY(),"Yes","No"))</f>
        <v>Yes</v>
      </c>
      <c r="AG23" s="4">
        <f ca="1">IF(PlannerTasks[[#This Row],[IsOverdue]]="Yes",TODAY()-DATEVALUE(LEFT(PlannerTasks[[#This Row],[DueDateTime]],10)),0)</f>
        <v>2</v>
      </c>
      <c r="AH23" s="4">
        <f ca="1">IF(OR(PlannerTasks[[#This Row],[DueDateTime]]="",PlannerTasks[[#This Row],[PercentComplete]]=100),"",DATEVALUE(LEFT(PlannerTasks[[#This Row],[DueDateTime]],10))-TODAY())</f>
        <v>-2</v>
      </c>
    </row>
    <row r="24" spans="1:34" ht="15" customHeight="1">
      <c r="A24" s="2" t="s">
        <v>224</v>
      </c>
      <c r="B24" s="2" t="s">
        <v>225</v>
      </c>
      <c r="C24" s="2" t="s">
        <v>226</v>
      </c>
      <c r="D24" s="2" t="s">
        <v>37</v>
      </c>
      <c r="E24" s="2" t="s">
        <v>61</v>
      </c>
      <c r="F24" s="2" t="s">
        <v>62</v>
      </c>
      <c r="G24" s="2">
        <v>0</v>
      </c>
      <c r="H24" s="2">
        <v>5</v>
      </c>
      <c r="I24" s="2" t="s">
        <v>40</v>
      </c>
      <c r="J24" s="2" t="s">
        <v>227</v>
      </c>
      <c r="K24" s="2" t="s">
        <v>228</v>
      </c>
      <c r="L24" s="2" t="s">
        <v>96</v>
      </c>
      <c r="M24" s="2"/>
      <c r="N24" s="2"/>
      <c r="O24" s="2"/>
      <c r="P24" s="2"/>
      <c r="Q24" s="2" t="s">
        <v>229</v>
      </c>
      <c r="R24" s="2" t="b">
        <v>1</v>
      </c>
      <c r="S24" s="2" t="s">
        <v>230</v>
      </c>
      <c r="T24" s="2">
        <v>5</v>
      </c>
      <c r="U24" s="2" t="s">
        <v>231</v>
      </c>
      <c r="V24" s="2">
        <v>0</v>
      </c>
      <c r="W24" s="2" t="s">
        <v>45</v>
      </c>
      <c r="X24" s="2" t="s">
        <v>232</v>
      </c>
      <c r="Y24" s="2"/>
      <c r="Z24" s="2" t="s">
        <v>100</v>
      </c>
      <c r="AA24" s="2" t="s">
        <v>48</v>
      </c>
      <c r="AB24" s="2" t="s">
        <v>233</v>
      </c>
      <c r="AC24" s="3">
        <v>46304</v>
      </c>
      <c r="AD24" s="4">
        <f>(LEN(PlannerTasks[[#This Row],[ChecklistSummary]])-LEN(SUBSTITUTE(PlannerTasks[[#This Row],[ChecklistSummary]],"""isChecked"":true","")))/LEN("""isChecked"":true")</f>
        <v>1</v>
      </c>
      <c r="AE24" s="4">
        <f>PlannerTasks[[#This Row],[ChecklistItemCount]]-PlannerTasks[[#This Row],[ChecklistDone]]</f>
        <v>4</v>
      </c>
      <c r="AF24" s="4" t="str">
        <f ca="1">IF(OR(PlannerTasks[[#This Row],[DueDateTime]]="",PlannerTasks[[#This Row],[PercentComplete]]=100),"No",IF(DATEVALUE(LEFT(PlannerTasks[[#This Row],[DueDateTime]],10))&lt;TODAY(),"Yes","No"))</f>
        <v>No</v>
      </c>
      <c r="AG24" s="4">
        <f ca="1">IF(PlannerTasks[[#This Row],[IsOverdue]]="Yes",TODAY()-DATEVALUE(LEFT(PlannerTasks[[#This Row],[DueDateTime]],10)),0)</f>
        <v>0</v>
      </c>
      <c r="AH24" s="4" t="str">
        <f ca="1">IF(OR(PlannerTasks[[#This Row],[DueDateTime]]="",PlannerTasks[[#This Row],[PercentComplete]]=100),"",DATEVALUE(LEFT(PlannerTasks[[#This Row],[DueDateTime]],10))-TODAY())</f>
        <v/>
      </c>
    </row>
    <row r="25" spans="1:34" ht="15" customHeight="1">
      <c r="A25" s="2" t="s">
        <v>234</v>
      </c>
      <c r="B25" s="2" t="s">
        <v>235</v>
      </c>
      <c r="C25" s="2" t="s">
        <v>236</v>
      </c>
      <c r="D25" s="2" t="s">
        <v>37</v>
      </c>
      <c r="E25" s="2" t="s">
        <v>84</v>
      </c>
      <c r="F25" s="2" t="s">
        <v>85</v>
      </c>
      <c r="G25" s="2">
        <v>0</v>
      </c>
      <c r="H25" s="2">
        <v>5</v>
      </c>
      <c r="I25" s="2" t="s">
        <v>40</v>
      </c>
      <c r="J25" s="2" t="s">
        <v>237</v>
      </c>
      <c r="K25" s="2" t="s">
        <v>238</v>
      </c>
      <c r="L25" s="2" t="s">
        <v>96</v>
      </c>
      <c r="M25" s="2"/>
      <c r="N25" s="2"/>
      <c r="O25" s="2"/>
      <c r="P25" s="2"/>
      <c r="Q25" s="2" t="s">
        <v>177</v>
      </c>
      <c r="R25" s="2" t="b">
        <v>1</v>
      </c>
      <c r="S25" s="2" t="s">
        <v>239</v>
      </c>
      <c r="T25" s="2">
        <v>5</v>
      </c>
      <c r="U25" s="2" t="s">
        <v>240</v>
      </c>
      <c r="V25" s="2">
        <v>0</v>
      </c>
      <c r="W25" s="2" t="s">
        <v>45</v>
      </c>
      <c r="X25" s="2" t="s">
        <v>241</v>
      </c>
      <c r="Y25" s="2"/>
      <c r="Z25" s="2" t="s">
        <v>100</v>
      </c>
      <c r="AA25" s="2" t="s">
        <v>48</v>
      </c>
      <c r="AB25" s="2" t="s">
        <v>179</v>
      </c>
      <c r="AC25" s="3">
        <v>46304</v>
      </c>
      <c r="AD25" s="4">
        <f>(LEN(PlannerTasks[[#This Row],[ChecklistSummary]])-LEN(SUBSTITUTE(PlannerTasks[[#This Row],[ChecklistSummary]],"""isChecked"":true","")))/LEN("""isChecked"":true")</f>
        <v>1</v>
      </c>
      <c r="AE25" s="4">
        <f>PlannerTasks[[#This Row],[ChecklistItemCount]]-PlannerTasks[[#This Row],[ChecklistDone]]</f>
        <v>4</v>
      </c>
      <c r="AF25" s="4" t="str">
        <f ca="1">IF(OR(PlannerTasks[[#This Row],[DueDateTime]]="",PlannerTasks[[#This Row],[PercentComplete]]=100),"No",IF(DATEVALUE(LEFT(PlannerTasks[[#This Row],[DueDateTime]],10))&lt;TODAY(),"Yes","No"))</f>
        <v>No</v>
      </c>
      <c r="AG25" s="4">
        <f ca="1">IF(PlannerTasks[[#This Row],[IsOverdue]]="Yes",TODAY()-DATEVALUE(LEFT(PlannerTasks[[#This Row],[DueDateTime]],10)),0)</f>
        <v>0</v>
      </c>
      <c r="AH25" s="4" t="str">
        <f ca="1">IF(OR(PlannerTasks[[#This Row],[DueDateTime]]="",PlannerTasks[[#This Row],[PercentComplete]]=100),"",DATEVALUE(LEFT(PlannerTasks[[#This Row],[DueDateTime]],10))-TODAY())</f>
        <v/>
      </c>
    </row>
    <row r="26" spans="1:34" ht="15" customHeight="1">
      <c r="A26" s="2" t="s">
        <v>242</v>
      </c>
      <c r="B26" s="2" t="s">
        <v>243</v>
      </c>
      <c r="C26" s="2" t="s">
        <v>244</v>
      </c>
      <c r="D26" s="2" t="s">
        <v>37</v>
      </c>
      <c r="E26" s="2" t="s">
        <v>84</v>
      </c>
      <c r="F26" s="2" t="s">
        <v>85</v>
      </c>
      <c r="G26" s="2">
        <v>0</v>
      </c>
      <c r="H26" s="2">
        <v>5</v>
      </c>
      <c r="I26" s="2" t="s">
        <v>40</v>
      </c>
      <c r="J26" s="2" t="s">
        <v>245</v>
      </c>
      <c r="K26" s="2" t="s">
        <v>246</v>
      </c>
      <c r="L26" s="2" t="s">
        <v>96</v>
      </c>
      <c r="M26" s="2"/>
      <c r="N26" s="2"/>
      <c r="O26" s="2"/>
      <c r="P26" s="2"/>
      <c r="Q26" s="2" t="s">
        <v>143</v>
      </c>
      <c r="R26" s="2" t="b">
        <v>1</v>
      </c>
      <c r="S26" s="2" t="s">
        <v>247</v>
      </c>
      <c r="T26" s="2">
        <v>5</v>
      </c>
      <c r="U26" s="2" t="s">
        <v>248</v>
      </c>
      <c r="V26" s="2">
        <v>0</v>
      </c>
      <c r="W26" s="2" t="s">
        <v>45</v>
      </c>
      <c r="X26" s="2" t="s">
        <v>249</v>
      </c>
      <c r="Y26" s="2"/>
      <c r="Z26" s="2" t="s">
        <v>100</v>
      </c>
      <c r="AA26" s="2" t="s">
        <v>48</v>
      </c>
      <c r="AB26" s="2" t="s">
        <v>145</v>
      </c>
      <c r="AC26" s="3">
        <v>46304</v>
      </c>
      <c r="AD26" s="4">
        <f>(LEN(PlannerTasks[[#This Row],[ChecklistSummary]])-LEN(SUBSTITUTE(PlannerTasks[[#This Row],[ChecklistSummary]],"""isChecked"":true","")))/LEN("""isChecked"":true")</f>
        <v>1</v>
      </c>
      <c r="AE26" s="4">
        <f>PlannerTasks[[#This Row],[ChecklistItemCount]]-PlannerTasks[[#This Row],[ChecklistDone]]</f>
        <v>4</v>
      </c>
      <c r="AF26" s="4" t="str">
        <f ca="1">IF(OR(PlannerTasks[[#This Row],[DueDateTime]]="",PlannerTasks[[#This Row],[PercentComplete]]=100),"No",IF(DATEVALUE(LEFT(PlannerTasks[[#This Row],[DueDateTime]],10))&lt;TODAY(),"Yes","No"))</f>
        <v>No</v>
      </c>
      <c r="AG26" s="4">
        <f ca="1">IF(PlannerTasks[[#This Row],[IsOverdue]]="Yes",TODAY()-DATEVALUE(LEFT(PlannerTasks[[#This Row],[DueDateTime]],10)),0)</f>
        <v>0</v>
      </c>
      <c r="AH26" s="4" t="str">
        <f ca="1">IF(OR(PlannerTasks[[#This Row],[DueDateTime]]="",PlannerTasks[[#This Row],[PercentComplete]]=100),"",DATEVALUE(LEFT(PlannerTasks[[#This Row],[DueDateTime]],10))-TODAY())</f>
        <v/>
      </c>
    </row>
    <row r="27" spans="1:34" ht="15" customHeight="1">
      <c r="A27" s="2" t="s">
        <v>250</v>
      </c>
      <c r="B27" s="2" t="s">
        <v>251</v>
      </c>
      <c r="C27" s="2" t="s">
        <v>252</v>
      </c>
      <c r="D27" s="2" t="s">
        <v>37</v>
      </c>
      <c r="E27" s="2" t="s">
        <v>84</v>
      </c>
      <c r="F27" s="2" t="s">
        <v>85</v>
      </c>
      <c r="G27" s="2">
        <v>0</v>
      </c>
      <c r="H27" s="2">
        <v>5</v>
      </c>
      <c r="I27" s="2" t="s">
        <v>40</v>
      </c>
      <c r="J27" s="2" t="s">
        <v>253</v>
      </c>
      <c r="K27" s="2" t="s">
        <v>254</v>
      </c>
      <c r="L27" s="2" t="s">
        <v>96</v>
      </c>
      <c r="M27" s="2"/>
      <c r="N27" s="2"/>
      <c r="O27" s="2"/>
      <c r="P27" s="2"/>
      <c r="Q27" s="2" t="s">
        <v>255</v>
      </c>
      <c r="R27" s="2" t="b">
        <v>1</v>
      </c>
      <c r="S27" s="2" t="s">
        <v>256</v>
      </c>
      <c r="T27" s="2">
        <v>5</v>
      </c>
      <c r="U27" s="2" t="s">
        <v>257</v>
      </c>
      <c r="V27" s="2">
        <v>0</v>
      </c>
      <c r="W27" s="2" t="s">
        <v>45</v>
      </c>
      <c r="X27" s="2" t="s">
        <v>258</v>
      </c>
      <c r="Y27" s="2"/>
      <c r="Z27" s="2" t="s">
        <v>100</v>
      </c>
      <c r="AA27" s="2" t="s">
        <v>48</v>
      </c>
      <c r="AB27" s="2" t="s">
        <v>259</v>
      </c>
      <c r="AC27" s="3">
        <v>46304</v>
      </c>
      <c r="AD27" s="4">
        <f>(LEN(PlannerTasks[[#This Row],[ChecklistSummary]])-LEN(SUBSTITUTE(PlannerTasks[[#This Row],[ChecklistSummary]],"""isChecked"":true","")))/LEN("""isChecked"":true")</f>
        <v>1</v>
      </c>
      <c r="AE27" s="4">
        <f>PlannerTasks[[#This Row],[ChecklistItemCount]]-PlannerTasks[[#This Row],[ChecklistDone]]</f>
        <v>4</v>
      </c>
      <c r="AF27" s="4" t="str">
        <f ca="1">IF(OR(PlannerTasks[[#This Row],[DueDateTime]]="",PlannerTasks[[#This Row],[PercentComplete]]=100),"No",IF(DATEVALUE(LEFT(PlannerTasks[[#This Row],[DueDateTime]],10))&lt;TODAY(),"Yes","No"))</f>
        <v>No</v>
      </c>
      <c r="AG27" s="4">
        <f ca="1">IF(PlannerTasks[[#This Row],[IsOverdue]]="Yes",TODAY()-DATEVALUE(LEFT(PlannerTasks[[#This Row],[DueDateTime]],10)),0)</f>
        <v>0</v>
      </c>
      <c r="AH27" s="4" t="str">
        <f ca="1">IF(OR(PlannerTasks[[#This Row],[DueDateTime]]="",PlannerTasks[[#This Row],[PercentComplete]]=100),"",DATEVALUE(LEFT(PlannerTasks[[#This Row],[DueDateTime]],10))-TODAY())</f>
        <v/>
      </c>
    </row>
    <row r="28" spans="1:34" ht="15" customHeight="1">
      <c r="A28" s="2" t="s">
        <v>260</v>
      </c>
      <c r="B28" s="2" t="s">
        <v>261</v>
      </c>
      <c r="C28" s="2" t="s">
        <v>262</v>
      </c>
      <c r="D28" s="2" t="s">
        <v>37</v>
      </c>
      <c r="E28" s="2" t="s">
        <v>84</v>
      </c>
      <c r="F28" s="2" t="s">
        <v>85</v>
      </c>
      <c r="G28" s="2">
        <v>0</v>
      </c>
      <c r="H28" s="2">
        <v>5</v>
      </c>
      <c r="I28" s="2" t="s">
        <v>40</v>
      </c>
      <c r="J28" s="2" t="s">
        <v>263</v>
      </c>
      <c r="K28" s="2" t="s">
        <v>264</v>
      </c>
      <c r="L28" s="2" t="s">
        <v>96</v>
      </c>
      <c r="M28" s="2"/>
      <c r="N28" s="2"/>
      <c r="O28" s="2"/>
      <c r="P28" s="2"/>
      <c r="Q28" s="2" t="s">
        <v>255</v>
      </c>
      <c r="R28" s="2" t="b">
        <v>1</v>
      </c>
      <c r="S28" s="2" t="s">
        <v>265</v>
      </c>
      <c r="T28" s="2">
        <v>6</v>
      </c>
      <c r="U28" s="2" t="s">
        <v>266</v>
      </c>
      <c r="V28" s="2">
        <v>0</v>
      </c>
      <c r="W28" s="2" t="s">
        <v>45</v>
      </c>
      <c r="X28" s="2" t="s">
        <v>267</v>
      </c>
      <c r="Y28" s="2"/>
      <c r="Z28" s="2" t="s">
        <v>100</v>
      </c>
      <c r="AA28" s="2" t="s">
        <v>48</v>
      </c>
      <c r="AB28" s="2" t="s">
        <v>259</v>
      </c>
      <c r="AC28" s="3">
        <v>46304</v>
      </c>
      <c r="AD28" s="4">
        <f>(LEN(PlannerTasks[[#This Row],[ChecklistSummary]])-LEN(SUBSTITUTE(PlannerTasks[[#This Row],[ChecklistSummary]],"""isChecked"":true","")))/LEN("""isChecked"":true")</f>
        <v>1</v>
      </c>
      <c r="AE28" s="4">
        <f>PlannerTasks[[#This Row],[ChecklistItemCount]]-PlannerTasks[[#This Row],[ChecklistDone]]</f>
        <v>5</v>
      </c>
      <c r="AF28" s="4" t="str">
        <f ca="1">IF(OR(PlannerTasks[[#This Row],[DueDateTime]]="",PlannerTasks[[#This Row],[PercentComplete]]=100),"No",IF(DATEVALUE(LEFT(PlannerTasks[[#This Row],[DueDateTime]],10))&lt;TODAY(),"Yes","No"))</f>
        <v>No</v>
      </c>
      <c r="AG28" s="4">
        <f ca="1">IF(PlannerTasks[[#This Row],[IsOverdue]]="Yes",TODAY()-DATEVALUE(LEFT(PlannerTasks[[#This Row],[DueDateTime]],10)),0)</f>
        <v>0</v>
      </c>
      <c r="AH28" s="4" t="str">
        <f ca="1">IF(OR(PlannerTasks[[#This Row],[DueDateTime]]="",PlannerTasks[[#This Row],[PercentComplete]]=100),"",DATEVALUE(LEFT(PlannerTasks[[#This Row],[DueDateTime]],10))-TODAY())</f>
        <v/>
      </c>
    </row>
    <row r="29" spans="1:34" ht="15" customHeight="1">
      <c r="A29" s="2" t="s">
        <v>268</v>
      </c>
      <c r="B29" s="2" t="s">
        <v>269</v>
      </c>
      <c r="C29" s="2" t="s">
        <v>270</v>
      </c>
      <c r="D29" s="2" t="s">
        <v>37</v>
      </c>
      <c r="E29" s="2" t="s">
        <v>84</v>
      </c>
      <c r="F29" s="2" t="s">
        <v>85</v>
      </c>
      <c r="G29" s="2">
        <v>0</v>
      </c>
      <c r="H29" s="2">
        <v>5</v>
      </c>
      <c r="I29" s="2" t="s">
        <v>40</v>
      </c>
      <c r="J29" s="2" t="s">
        <v>271</v>
      </c>
      <c r="K29" s="2" t="s">
        <v>272</v>
      </c>
      <c r="L29" s="2" t="s">
        <v>96</v>
      </c>
      <c r="M29" s="2"/>
      <c r="N29" s="2" t="s">
        <v>218</v>
      </c>
      <c r="O29" s="2"/>
      <c r="P29" s="2"/>
      <c r="Q29" s="2" t="s">
        <v>255</v>
      </c>
      <c r="R29" s="2" t="b">
        <v>1</v>
      </c>
      <c r="S29" s="2" t="s">
        <v>273</v>
      </c>
      <c r="T29" s="2">
        <v>6</v>
      </c>
      <c r="U29" s="2" t="s">
        <v>274</v>
      </c>
      <c r="V29" s="2">
        <v>0</v>
      </c>
      <c r="W29" s="2" t="s">
        <v>45</v>
      </c>
      <c r="X29" s="2" t="s">
        <v>275</v>
      </c>
      <c r="Y29" s="2"/>
      <c r="Z29" s="2" t="s">
        <v>100</v>
      </c>
      <c r="AA29" s="2" t="s">
        <v>48</v>
      </c>
      <c r="AB29" s="2" t="s">
        <v>259</v>
      </c>
      <c r="AC29" s="3">
        <v>46304</v>
      </c>
      <c r="AD29" s="4">
        <f>(LEN(PlannerTasks[[#This Row],[ChecklistSummary]])-LEN(SUBSTITUTE(PlannerTasks[[#This Row],[ChecklistSummary]],"""isChecked"":true","")))/LEN("""isChecked"":true")</f>
        <v>1</v>
      </c>
      <c r="AE29" s="4">
        <f>PlannerTasks[[#This Row],[ChecklistItemCount]]-PlannerTasks[[#This Row],[ChecklistDone]]</f>
        <v>5</v>
      </c>
      <c r="AF29" s="4" t="str">
        <f ca="1">IF(OR(PlannerTasks[[#This Row],[DueDateTime]]="",PlannerTasks[[#This Row],[PercentComplete]]=100),"No",IF(DATEVALUE(LEFT(PlannerTasks[[#This Row],[DueDateTime]],10))&lt;TODAY(),"Yes","No"))</f>
        <v>Yes</v>
      </c>
      <c r="AG29" s="4">
        <f ca="1">IF(PlannerTasks[[#This Row],[IsOverdue]]="Yes",TODAY()-DATEVALUE(LEFT(PlannerTasks[[#This Row],[DueDateTime]],10)),0)</f>
        <v>2</v>
      </c>
      <c r="AH29" s="4">
        <f ca="1">IF(OR(PlannerTasks[[#This Row],[DueDateTime]]="",PlannerTasks[[#This Row],[PercentComplete]]=100),"",DATEVALUE(LEFT(PlannerTasks[[#This Row],[DueDateTime]],10))-TODAY())</f>
        <v>-2</v>
      </c>
    </row>
    <row r="30" spans="1:34" ht="15" customHeight="1">
      <c r="A30" s="2" t="s">
        <v>276</v>
      </c>
      <c r="B30" s="2" t="s">
        <v>277</v>
      </c>
      <c r="C30" s="2" t="s">
        <v>278</v>
      </c>
      <c r="D30" s="2" t="s">
        <v>37</v>
      </c>
      <c r="E30" s="2" t="s">
        <v>38</v>
      </c>
      <c r="F30" s="2" t="s">
        <v>39</v>
      </c>
      <c r="G30" s="2">
        <v>0</v>
      </c>
      <c r="H30" s="2">
        <v>5</v>
      </c>
      <c r="I30" s="2" t="s">
        <v>40</v>
      </c>
      <c r="J30" s="2" t="s">
        <v>279</v>
      </c>
      <c r="K30" s="2" t="s">
        <v>280</v>
      </c>
      <c r="L30" s="2" t="s">
        <v>43</v>
      </c>
      <c r="M30" s="2"/>
      <c r="N30" s="2"/>
      <c r="O30" s="2"/>
      <c r="P30" s="2"/>
      <c r="Q30" s="2" t="s">
        <v>78</v>
      </c>
      <c r="R30" s="2" t="b">
        <v>0</v>
      </c>
      <c r="S30" s="2"/>
      <c r="T30" s="2">
        <v>0</v>
      </c>
      <c r="U30" s="2" t="s">
        <v>45</v>
      </c>
      <c r="V30" s="2">
        <v>0</v>
      </c>
      <c r="W30" s="2" t="s">
        <v>45</v>
      </c>
      <c r="X30" s="2" t="s">
        <v>281</v>
      </c>
      <c r="Y30" s="2"/>
      <c r="Z30" s="2" t="s">
        <v>47</v>
      </c>
      <c r="AA30" s="2" t="s">
        <v>48</v>
      </c>
      <c r="AB30" s="2" t="s">
        <v>80</v>
      </c>
      <c r="AC30" s="3">
        <v>46304</v>
      </c>
      <c r="AD30" s="4">
        <f>(LEN(PlannerTasks[[#This Row],[ChecklistSummary]])-LEN(SUBSTITUTE(PlannerTasks[[#This Row],[ChecklistSummary]],"""isChecked"":true","")))/LEN("""isChecked"":true")</f>
        <v>0</v>
      </c>
      <c r="AE30" s="4">
        <f>PlannerTasks[[#This Row],[ChecklistItemCount]]-PlannerTasks[[#This Row],[ChecklistDone]]</f>
        <v>0</v>
      </c>
      <c r="AF30" s="4" t="str">
        <f ca="1">IF(OR(PlannerTasks[[#This Row],[DueDateTime]]="",PlannerTasks[[#This Row],[PercentComplete]]=100),"No",IF(DATEVALUE(LEFT(PlannerTasks[[#This Row],[DueDateTime]],10))&lt;TODAY(),"Yes","No"))</f>
        <v>No</v>
      </c>
      <c r="AG30" s="4">
        <f ca="1">IF(PlannerTasks[[#This Row],[IsOverdue]]="Yes",TODAY()-DATEVALUE(LEFT(PlannerTasks[[#This Row],[DueDateTime]],10)),0)</f>
        <v>0</v>
      </c>
      <c r="AH30" s="4" t="str">
        <f ca="1">IF(OR(PlannerTasks[[#This Row],[DueDateTime]]="",PlannerTasks[[#This Row],[PercentComplete]]=100),"",DATEVALUE(LEFT(PlannerTasks[[#This Row],[DueDateTime]],10))-TODAY())</f>
        <v/>
      </c>
    </row>
    <row r="31" spans="1:34" ht="15" customHeight="1">
      <c r="A31" s="2" t="s">
        <v>282</v>
      </c>
      <c r="B31" s="2" t="s">
        <v>283</v>
      </c>
      <c r="C31" s="2" t="s">
        <v>284</v>
      </c>
      <c r="D31" s="2" t="s">
        <v>37</v>
      </c>
      <c r="E31" s="2" t="s">
        <v>38</v>
      </c>
      <c r="F31" s="2" t="s">
        <v>39</v>
      </c>
      <c r="G31" s="2">
        <v>0</v>
      </c>
      <c r="H31" s="2">
        <v>5</v>
      </c>
      <c r="I31" s="2" t="s">
        <v>40</v>
      </c>
      <c r="J31" s="2" t="s">
        <v>285</v>
      </c>
      <c r="K31" s="2" t="s">
        <v>286</v>
      </c>
      <c r="L31" s="2" t="s">
        <v>43</v>
      </c>
      <c r="M31" s="2"/>
      <c r="N31" s="2"/>
      <c r="O31" s="2"/>
      <c r="P31" s="2"/>
      <c r="Q31" s="2" t="s">
        <v>78</v>
      </c>
      <c r="R31" s="2" t="b">
        <v>0</v>
      </c>
      <c r="S31" s="2"/>
      <c r="T31" s="2">
        <v>0</v>
      </c>
      <c r="U31" s="2" t="s">
        <v>45</v>
      </c>
      <c r="V31" s="2">
        <v>0</v>
      </c>
      <c r="W31" s="2" t="s">
        <v>45</v>
      </c>
      <c r="X31" s="2" t="s">
        <v>287</v>
      </c>
      <c r="Y31" s="2"/>
      <c r="Z31" s="2" t="s">
        <v>47</v>
      </c>
      <c r="AA31" s="2" t="s">
        <v>48</v>
      </c>
      <c r="AB31" s="2" t="s">
        <v>80</v>
      </c>
      <c r="AC31" s="3">
        <v>46304</v>
      </c>
      <c r="AD31" s="4">
        <f>(LEN(PlannerTasks[[#This Row],[ChecklistSummary]])-LEN(SUBSTITUTE(PlannerTasks[[#This Row],[ChecklistSummary]],"""isChecked"":true","")))/LEN("""isChecked"":true")</f>
        <v>0</v>
      </c>
      <c r="AE31" s="4">
        <f>PlannerTasks[[#This Row],[ChecklistItemCount]]-PlannerTasks[[#This Row],[ChecklistDone]]</f>
        <v>0</v>
      </c>
      <c r="AF31" s="4" t="str">
        <f ca="1">IF(OR(PlannerTasks[[#This Row],[DueDateTime]]="",PlannerTasks[[#This Row],[PercentComplete]]=100),"No",IF(DATEVALUE(LEFT(PlannerTasks[[#This Row],[DueDateTime]],10))&lt;TODAY(),"Yes","No"))</f>
        <v>No</v>
      </c>
      <c r="AG31" s="4">
        <f ca="1">IF(PlannerTasks[[#This Row],[IsOverdue]]="Yes",TODAY()-DATEVALUE(LEFT(PlannerTasks[[#This Row],[DueDateTime]],10)),0)</f>
        <v>0</v>
      </c>
      <c r="AH31" s="4" t="str">
        <f ca="1">IF(OR(PlannerTasks[[#This Row],[DueDateTime]]="",PlannerTasks[[#This Row],[PercentComplete]]=100),"",DATEVALUE(LEFT(PlannerTasks[[#This Row],[DueDateTime]],10))-TODAY())</f>
        <v/>
      </c>
    </row>
    <row r="32" spans="1:34" ht="15" customHeight="1">
      <c r="A32" s="2" t="s">
        <v>288</v>
      </c>
      <c r="B32" s="2" t="s">
        <v>289</v>
      </c>
      <c r="C32" s="2" t="s">
        <v>290</v>
      </c>
      <c r="D32" s="2" t="s">
        <v>37</v>
      </c>
      <c r="E32" s="2" t="s">
        <v>61</v>
      </c>
      <c r="F32" s="2" t="s">
        <v>62</v>
      </c>
      <c r="G32" s="2">
        <v>0</v>
      </c>
      <c r="H32" s="2">
        <v>5</v>
      </c>
      <c r="I32" s="2" t="s">
        <v>40</v>
      </c>
      <c r="J32" s="2" t="s">
        <v>291</v>
      </c>
      <c r="K32" s="2" t="s">
        <v>292</v>
      </c>
      <c r="L32" s="2" t="s">
        <v>43</v>
      </c>
      <c r="M32" s="2"/>
      <c r="N32" s="2"/>
      <c r="O32" s="2"/>
      <c r="P32" s="2"/>
      <c r="Q32" s="2" t="s">
        <v>293</v>
      </c>
      <c r="R32" s="2" t="b">
        <v>0</v>
      </c>
      <c r="S32" s="2"/>
      <c r="T32" s="2">
        <v>0</v>
      </c>
      <c r="U32" s="2" t="s">
        <v>45</v>
      </c>
      <c r="V32" s="2">
        <v>0</v>
      </c>
      <c r="W32" s="2" t="s">
        <v>45</v>
      </c>
      <c r="X32" s="2" t="s">
        <v>294</v>
      </c>
      <c r="Y32" s="2"/>
      <c r="Z32" s="2" t="s">
        <v>47</v>
      </c>
      <c r="AA32" s="2" t="s">
        <v>48</v>
      </c>
      <c r="AB32" s="2" t="s">
        <v>295</v>
      </c>
      <c r="AC32" s="3">
        <v>46304</v>
      </c>
      <c r="AD32" s="4">
        <f>(LEN(PlannerTasks[[#This Row],[ChecklistSummary]])-LEN(SUBSTITUTE(PlannerTasks[[#This Row],[ChecklistSummary]],"""isChecked"":true","")))/LEN("""isChecked"":true")</f>
        <v>0</v>
      </c>
      <c r="AE32" s="4">
        <f>PlannerTasks[[#This Row],[ChecklistItemCount]]-PlannerTasks[[#This Row],[ChecklistDone]]</f>
        <v>0</v>
      </c>
      <c r="AF32" s="4" t="str">
        <f ca="1">IF(OR(PlannerTasks[[#This Row],[DueDateTime]]="",PlannerTasks[[#This Row],[PercentComplete]]=100),"No",IF(DATEVALUE(LEFT(PlannerTasks[[#This Row],[DueDateTime]],10))&lt;TODAY(),"Yes","No"))</f>
        <v>No</v>
      </c>
      <c r="AG32" s="4">
        <f ca="1">IF(PlannerTasks[[#This Row],[IsOverdue]]="Yes",TODAY()-DATEVALUE(LEFT(PlannerTasks[[#This Row],[DueDateTime]],10)),0)</f>
        <v>0</v>
      </c>
      <c r="AH32" s="4" t="str">
        <f ca="1">IF(OR(PlannerTasks[[#This Row],[DueDateTime]]="",PlannerTasks[[#This Row],[PercentComplete]]=100),"",DATEVALUE(LEFT(PlannerTasks[[#This Row],[DueDateTime]],10))-TODAY())</f>
        <v/>
      </c>
    </row>
    <row r="33" spans="1:34" ht="15" customHeight="1">
      <c r="A33" s="2" t="s">
        <v>296</v>
      </c>
      <c r="B33" s="2" t="s">
        <v>297</v>
      </c>
      <c r="C33" s="2" t="s">
        <v>298</v>
      </c>
      <c r="D33" s="2" t="s">
        <v>37</v>
      </c>
      <c r="E33" s="2" t="s">
        <v>38</v>
      </c>
      <c r="F33" s="2" t="s">
        <v>39</v>
      </c>
      <c r="G33" s="2">
        <v>0</v>
      </c>
      <c r="H33" s="2">
        <v>5</v>
      </c>
      <c r="I33" s="2" t="s">
        <v>40</v>
      </c>
      <c r="J33" s="2" t="s">
        <v>299</v>
      </c>
      <c r="K33" s="2" t="s">
        <v>300</v>
      </c>
      <c r="L33" s="2" t="s">
        <v>43</v>
      </c>
      <c r="M33" s="2"/>
      <c r="N33" s="2"/>
      <c r="O33" s="2"/>
      <c r="P33" s="2"/>
      <c r="Q33" s="2" t="s">
        <v>78</v>
      </c>
      <c r="R33" s="2" t="b">
        <v>0</v>
      </c>
      <c r="S33" s="2"/>
      <c r="T33" s="2">
        <v>0</v>
      </c>
      <c r="U33" s="2" t="s">
        <v>45</v>
      </c>
      <c r="V33" s="2">
        <v>0</v>
      </c>
      <c r="W33" s="2" t="s">
        <v>45</v>
      </c>
      <c r="X33" s="2" t="s">
        <v>301</v>
      </c>
      <c r="Y33" s="2"/>
      <c r="Z33" s="2" t="s">
        <v>47</v>
      </c>
      <c r="AA33" s="2" t="s">
        <v>48</v>
      </c>
      <c r="AB33" s="2" t="s">
        <v>80</v>
      </c>
      <c r="AC33" s="3">
        <v>46304</v>
      </c>
      <c r="AD33" s="4">
        <f>(LEN(PlannerTasks[[#This Row],[ChecklistSummary]])-LEN(SUBSTITUTE(PlannerTasks[[#This Row],[ChecklistSummary]],"""isChecked"":true","")))/LEN("""isChecked"":true")</f>
        <v>0</v>
      </c>
      <c r="AE33" s="4">
        <f>PlannerTasks[[#This Row],[ChecklistItemCount]]-PlannerTasks[[#This Row],[ChecklistDone]]</f>
        <v>0</v>
      </c>
      <c r="AF33" s="4" t="str">
        <f ca="1">IF(OR(PlannerTasks[[#This Row],[DueDateTime]]="",PlannerTasks[[#This Row],[PercentComplete]]=100),"No",IF(DATEVALUE(LEFT(PlannerTasks[[#This Row],[DueDateTime]],10))&lt;TODAY(),"Yes","No"))</f>
        <v>No</v>
      </c>
      <c r="AG33" s="4">
        <f ca="1">IF(PlannerTasks[[#This Row],[IsOverdue]]="Yes",TODAY()-DATEVALUE(LEFT(PlannerTasks[[#This Row],[DueDateTime]],10)),0)</f>
        <v>0</v>
      </c>
      <c r="AH33" s="4" t="str">
        <f ca="1">IF(OR(PlannerTasks[[#This Row],[DueDateTime]]="",PlannerTasks[[#This Row],[PercentComplete]]=100),"",DATEVALUE(LEFT(PlannerTasks[[#This Row],[DueDateTime]],10))-TODAY())</f>
        <v/>
      </c>
    </row>
    <row r="34" spans="1:34" ht="15" customHeight="1">
      <c r="A34" s="2" t="s">
        <v>302</v>
      </c>
      <c r="B34" s="2" t="s">
        <v>303</v>
      </c>
      <c r="C34" s="2" t="s">
        <v>304</v>
      </c>
      <c r="D34" s="2" t="s">
        <v>37</v>
      </c>
      <c r="E34" s="2" t="s">
        <v>74</v>
      </c>
      <c r="F34" s="2" t="s">
        <v>75</v>
      </c>
      <c r="G34" s="2">
        <v>0</v>
      </c>
      <c r="H34" s="2">
        <v>5</v>
      </c>
      <c r="I34" s="2" t="s">
        <v>40</v>
      </c>
      <c r="J34" s="2" t="s">
        <v>305</v>
      </c>
      <c r="K34" s="2" t="s">
        <v>306</v>
      </c>
      <c r="L34" s="2" t="s">
        <v>43</v>
      </c>
      <c r="M34" s="2"/>
      <c r="N34" s="2"/>
      <c r="O34" s="2"/>
      <c r="P34" s="2"/>
      <c r="Q34" s="2" t="s">
        <v>307</v>
      </c>
      <c r="R34" s="2" t="b">
        <v>0</v>
      </c>
      <c r="S34" s="2"/>
      <c r="T34" s="2">
        <v>0</v>
      </c>
      <c r="U34" s="2" t="s">
        <v>45</v>
      </c>
      <c r="V34" s="2">
        <v>0</v>
      </c>
      <c r="W34" s="2" t="s">
        <v>45</v>
      </c>
      <c r="X34" s="2" t="s">
        <v>308</v>
      </c>
      <c r="Y34" s="2"/>
      <c r="Z34" s="2" t="s">
        <v>47</v>
      </c>
      <c r="AA34" s="2" t="s">
        <v>48</v>
      </c>
      <c r="AB34" s="2" t="s">
        <v>309</v>
      </c>
      <c r="AC34" s="3">
        <v>46304</v>
      </c>
      <c r="AD34" s="4">
        <f>(LEN(PlannerTasks[[#This Row],[ChecklistSummary]])-LEN(SUBSTITUTE(PlannerTasks[[#This Row],[ChecklistSummary]],"""isChecked"":true","")))/LEN("""isChecked"":true")</f>
        <v>0</v>
      </c>
      <c r="AE34" s="4">
        <f>PlannerTasks[[#This Row],[ChecklistItemCount]]-PlannerTasks[[#This Row],[ChecklistDone]]</f>
        <v>0</v>
      </c>
      <c r="AF34" s="4" t="str">
        <f ca="1">IF(OR(PlannerTasks[[#This Row],[DueDateTime]]="",PlannerTasks[[#This Row],[PercentComplete]]=100),"No",IF(DATEVALUE(LEFT(PlannerTasks[[#This Row],[DueDateTime]],10))&lt;TODAY(),"Yes","No"))</f>
        <v>No</v>
      </c>
      <c r="AG34" s="4">
        <f ca="1">IF(PlannerTasks[[#This Row],[IsOverdue]]="Yes",TODAY()-DATEVALUE(LEFT(PlannerTasks[[#This Row],[DueDateTime]],10)),0)</f>
        <v>0</v>
      </c>
      <c r="AH34" s="4" t="str">
        <f ca="1">IF(OR(PlannerTasks[[#This Row],[DueDateTime]]="",PlannerTasks[[#This Row],[PercentComplete]]=100),"",DATEVALUE(LEFT(PlannerTasks[[#This Row],[DueDateTime]],10))-TODAY())</f>
        <v/>
      </c>
    </row>
    <row r="35" spans="1:34" ht="15" customHeight="1">
      <c r="A35" s="2" t="s">
        <v>310</v>
      </c>
      <c r="B35" s="2" t="s">
        <v>311</v>
      </c>
      <c r="C35" s="2" t="s">
        <v>312</v>
      </c>
      <c r="D35" s="2" t="s">
        <v>37</v>
      </c>
      <c r="E35" s="2" t="s">
        <v>61</v>
      </c>
      <c r="F35" s="2" t="s">
        <v>62</v>
      </c>
      <c r="G35" s="2">
        <v>0</v>
      </c>
      <c r="H35" s="2">
        <v>5</v>
      </c>
      <c r="I35" s="2" t="s">
        <v>40</v>
      </c>
      <c r="J35" s="2" t="s">
        <v>313</v>
      </c>
      <c r="K35" s="2" t="s">
        <v>314</v>
      </c>
      <c r="L35" s="2" t="s">
        <v>43</v>
      </c>
      <c r="M35" s="2"/>
      <c r="N35" s="2"/>
      <c r="O35" s="2"/>
      <c r="P35" s="2"/>
      <c r="Q35" s="2" t="s">
        <v>293</v>
      </c>
      <c r="R35" s="2" t="b">
        <v>0</v>
      </c>
      <c r="S35" s="2"/>
      <c r="T35" s="2">
        <v>0</v>
      </c>
      <c r="U35" s="2" t="s">
        <v>45</v>
      </c>
      <c r="V35" s="2">
        <v>0</v>
      </c>
      <c r="W35" s="2" t="s">
        <v>45</v>
      </c>
      <c r="X35" s="2" t="s">
        <v>315</v>
      </c>
      <c r="Y35" s="2"/>
      <c r="Z35" s="2" t="s">
        <v>47</v>
      </c>
      <c r="AA35" s="2" t="s">
        <v>48</v>
      </c>
      <c r="AB35" s="2" t="s">
        <v>295</v>
      </c>
      <c r="AC35" s="3">
        <v>46304</v>
      </c>
      <c r="AD35" s="4">
        <f>(LEN(PlannerTasks[[#This Row],[ChecklistSummary]])-LEN(SUBSTITUTE(PlannerTasks[[#This Row],[ChecklistSummary]],"""isChecked"":true","")))/LEN("""isChecked"":true")</f>
        <v>0</v>
      </c>
      <c r="AE35" s="4">
        <f>PlannerTasks[[#This Row],[ChecklistItemCount]]-PlannerTasks[[#This Row],[ChecklistDone]]</f>
        <v>0</v>
      </c>
      <c r="AF35" s="4" t="str">
        <f ca="1">IF(OR(PlannerTasks[[#This Row],[DueDateTime]]="",PlannerTasks[[#This Row],[PercentComplete]]=100),"No",IF(DATEVALUE(LEFT(PlannerTasks[[#This Row],[DueDateTime]],10))&lt;TODAY(),"Yes","No"))</f>
        <v>No</v>
      </c>
      <c r="AG35" s="4">
        <f ca="1">IF(PlannerTasks[[#This Row],[IsOverdue]]="Yes",TODAY()-DATEVALUE(LEFT(PlannerTasks[[#This Row],[DueDateTime]],10)),0)</f>
        <v>0</v>
      </c>
      <c r="AH35" s="4" t="str">
        <f ca="1">IF(OR(PlannerTasks[[#This Row],[DueDateTime]]="",PlannerTasks[[#This Row],[PercentComplete]]=100),"",DATEVALUE(LEFT(PlannerTasks[[#This Row],[DueDateTime]],10))-TODAY())</f>
        <v/>
      </c>
    </row>
    <row r="36" spans="1:34" ht="15" customHeight="1">
      <c r="A36" s="2" t="s">
        <v>316</v>
      </c>
      <c r="B36" s="2" t="s">
        <v>317</v>
      </c>
      <c r="C36" s="2" t="s">
        <v>318</v>
      </c>
      <c r="D36" s="2" t="s">
        <v>37</v>
      </c>
      <c r="E36" s="2" t="s">
        <v>61</v>
      </c>
      <c r="F36" s="2" t="s">
        <v>62</v>
      </c>
      <c r="G36" s="2">
        <v>0</v>
      </c>
      <c r="H36" s="2">
        <v>5</v>
      </c>
      <c r="I36" s="2" t="s">
        <v>40</v>
      </c>
      <c r="J36" s="2" t="s">
        <v>319</v>
      </c>
      <c r="K36" s="2" t="s">
        <v>320</v>
      </c>
      <c r="L36" s="2" t="s">
        <v>43</v>
      </c>
      <c r="M36" s="2"/>
      <c r="N36" s="2"/>
      <c r="O36" s="2"/>
      <c r="P36" s="2"/>
      <c r="Q36" s="2" t="s">
        <v>293</v>
      </c>
      <c r="R36" s="2" t="b">
        <v>0</v>
      </c>
      <c r="S36" s="2"/>
      <c r="T36" s="2">
        <v>0</v>
      </c>
      <c r="U36" s="2" t="s">
        <v>45</v>
      </c>
      <c r="V36" s="2">
        <v>0</v>
      </c>
      <c r="W36" s="2" t="s">
        <v>45</v>
      </c>
      <c r="X36" s="2" t="s">
        <v>321</v>
      </c>
      <c r="Y36" s="2"/>
      <c r="Z36" s="2" t="s">
        <v>47</v>
      </c>
      <c r="AA36" s="2" t="s">
        <v>48</v>
      </c>
      <c r="AB36" s="2" t="s">
        <v>295</v>
      </c>
      <c r="AC36" s="3">
        <v>46304</v>
      </c>
      <c r="AD36" s="4">
        <f>(LEN(PlannerTasks[[#This Row],[ChecklistSummary]])-LEN(SUBSTITUTE(PlannerTasks[[#This Row],[ChecklistSummary]],"""isChecked"":true","")))/LEN("""isChecked"":true")</f>
        <v>0</v>
      </c>
      <c r="AE36" s="4">
        <f>PlannerTasks[[#This Row],[ChecklistItemCount]]-PlannerTasks[[#This Row],[ChecklistDone]]</f>
        <v>0</v>
      </c>
      <c r="AF36" s="4" t="str">
        <f ca="1">IF(OR(PlannerTasks[[#This Row],[DueDateTime]]="",PlannerTasks[[#This Row],[PercentComplete]]=100),"No",IF(DATEVALUE(LEFT(PlannerTasks[[#This Row],[DueDateTime]],10))&lt;TODAY(),"Yes","No"))</f>
        <v>No</v>
      </c>
      <c r="AG36" s="4">
        <f ca="1">IF(PlannerTasks[[#This Row],[IsOverdue]]="Yes",TODAY()-DATEVALUE(LEFT(PlannerTasks[[#This Row],[DueDateTime]],10)),0)</f>
        <v>0</v>
      </c>
      <c r="AH36" s="4" t="str">
        <f ca="1">IF(OR(PlannerTasks[[#This Row],[DueDateTime]]="",PlannerTasks[[#This Row],[PercentComplete]]=100),"",DATEVALUE(LEFT(PlannerTasks[[#This Row],[DueDateTime]],10))-TODAY())</f>
        <v/>
      </c>
    </row>
    <row r="37" spans="1:34" ht="15" customHeight="1">
      <c r="A37" s="2" t="s">
        <v>322</v>
      </c>
      <c r="B37" s="2" t="s">
        <v>323</v>
      </c>
      <c r="C37" s="2" t="s">
        <v>324</v>
      </c>
      <c r="D37" s="2" t="s">
        <v>37</v>
      </c>
      <c r="E37" s="2" t="s">
        <v>61</v>
      </c>
      <c r="F37" s="2" t="s">
        <v>62</v>
      </c>
      <c r="G37" s="2">
        <v>0</v>
      </c>
      <c r="H37" s="2">
        <v>5</v>
      </c>
      <c r="I37" s="2" t="s">
        <v>40</v>
      </c>
      <c r="J37" s="2" t="s">
        <v>325</v>
      </c>
      <c r="K37" s="2" t="s">
        <v>326</v>
      </c>
      <c r="L37" s="2" t="s">
        <v>43</v>
      </c>
      <c r="M37" s="2"/>
      <c r="N37" s="2"/>
      <c r="O37" s="2"/>
      <c r="P37" s="2"/>
      <c r="Q37" s="2" t="s">
        <v>293</v>
      </c>
      <c r="R37" s="2" t="b">
        <v>0</v>
      </c>
      <c r="S37" s="2"/>
      <c r="T37" s="2">
        <v>0</v>
      </c>
      <c r="U37" s="2" t="s">
        <v>45</v>
      </c>
      <c r="V37" s="2">
        <v>0</v>
      </c>
      <c r="W37" s="2" t="s">
        <v>45</v>
      </c>
      <c r="X37" s="2" t="s">
        <v>327</v>
      </c>
      <c r="Y37" s="2"/>
      <c r="Z37" s="2" t="s">
        <v>47</v>
      </c>
      <c r="AA37" s="2" t="s">
        <v>48</v>
      </c>
      <c r="AB37" s="2" t="s">
        <v>295</v>
      </c>
      <c r="AC37" s="3">
        <v>46304</v>
      </c>
      <c r="AD37" s="4">
        <f>(LEN(PlannerTasks[[#This Row],[ChecklistSummary]])-LEN(SUBSTITUTE(PlannerTasks[[#This Row],[ChecklistSummary]],"""isChecked"":true","")))/LEN("""isChecked"":true")</f>
        <v>0</v>
      </c>
      <c r="AE37" s="4">
        <f>PlannerTasks[[#This Row],[ChecklistItemCount]]-PlannerTasks[[#This Row],[ChecklistDone]]</f>
        <v>0</v>
      </c>
      <c r="AF37" s="4" t="str">
        <f ca="1">IF(OR(PlannerTasks[[#This Row],[DueDateTime]]="",PlannerTasks[[#This Row],[PercentComplete]]=100),"No",IF(DATEVALUE(LEFT(PlannerTasks[[#This Row],[DueDateTime]],10))&lt;TODAY(),"Yes","No"))</f>
        <v>No</v>
      </c>
      <c r="AG37" s="4">
        <f ca="1">IF(PlannerTasks[[#This Row],[IsOverdue]]="Yes",TODAY()-DATEVALUE(LEFT(PlannerTasks[[#This Row],[DueDateTime]],10)),0)</f>
        <v>0</v>
      </c>
      <c r="AH37" s="4" t="str">
        <f ca="1">IF(OR(PlannerTasks[[#This Row],[DueDateTime]]="",PlannerTasks[[#This Row],[PercentComplete]]=100),"",DATEVALUE(LEFT(PlannerTasks[[#This Row],[DueDateTime]],10))-TODAY())</f>
        <v/>
      </c>
    </row>
    <row r="38" spans="1:34" ht="15" customHeight="1">
      <c r="A38" s="2" t="s">
        <v>328</v>
      </c>
      <c r="B38" s="2" t="s">
        <v>329</v>
      </c>
      <c r="C38" s="2" t="s">
        <v>330</v>
      </c>
      <c r="D38" s="2" t="s">
        <v>37</v>
      </c>
      <c r="E38" s="2" t="s">
        <v>61</v>
      </c>
      <c r="F38" s="2" t="s">
        <v>62</v>
      </c>
      <c r="G38" s="2">
        <v>0</v>
      </c>
      <c r="H38" s="2">
        <v>5</v>
      </c>
      <c r="I38" s="2" t="s">
        <v>40</v>
      </c>
      <c r="J38" s="2" t="s">
        <v>331</v>
      </c>
      <c r="K38" s="2" t="s">
        <v>332</v>
      </c>
      <c r="L38" s="2" t="s">
        <v>43</v>
      </c>
      <c r="M38" s="2"/>
      <c r="N38" s="2"/>
      <c r="O38" s="2"/>
      <c r="P38" s="2"/>
      <c r="Q38" s="2" t="s">
        <v>293</v>
      </c>
      <c r="R38" s="2" t="b">
        <v>0</v>
      </c>
      <c r="S38" s="2"/>
      <c r="T38" s="2">
        <v>0</v>
      </c>
      <c r="U38" s="2" t="s">
        <v>45</v>
      </c>
      <c r="V38" s="2">
        <v>0</v>
      </c>
      <c r="W38" s="2" t="s">
        <v>45</v>
      </c>
      <c r="X38" s="2" t="s">
        <v>333</v>
      </c>
      <c r="Y38" s="2"/>
      <c r="Z38" s="2" t="s">
        <v>47</v>
      </c>
      <c r="AA38" s="2" t="s">
        <v>48</v>
      </c>
      <c r="AB38" s="2" t="s">
        <v>295</v>
      </c>
      <c r="AC38" s="3">
        <v>46304</v>
      </c>
      <c r="AD38" s="4">
        <f>(LEN(PlannerTasks[[#This Row],[ChecklistSummary]])-LEN(SUBSTITUTE(PlannerTasks[[#This Row],[ChecklistSummary]],"""isChecked"":true","")))/LEN("""isChecked"":true")</f>
        <v>0</v>
      </c>
      <c r="AE38" s="4">
        <f>PlannerTasks[[#This Row],[ChecklistItemCount]]-PlannerTasks[[#This Row],[ChecklistDone]]</f>
        <v>0</v>
      </c>
      <c r="AF38" s="4" t="str">
        <f ca="1">IF(OR(PlannerTasks[[#This Row],[DueDateTime]]="",PlannerTasks[[#This Row],[PercentComplete]]=100),"No",IF(DATEVALUE(LEFT(PlannerTasks[[#This Row],[DueDateTime]],10))&lt;TODAY(),"Yes","No"))</f>
        <v>No</v>
      </c>
      <c r="AG38" s="4">
        <f ca="1">IF(PlannerTasks[[#This Row],[IsOverdue]]="Yes",TODAY()-DATEVALUE(LEFT(PlannerTasks[[#This Row],[DueDateTime]],10)),0)</f>
        <v>0</v>
      </c>
      <c r="AH38" s="4" t="str">
        <f ca="1">IF(OR(PlannerTasks[[#This Row],[DueDateTime]]="",PlannerTasks[[#This Row],[PercentComplete]]=100),"",DATEVALUE(LEFT(PlannerTasks[[#This Row],[DueDateTime]],10))-TODAY())</f>
        <v/>
      </c>
    </row>
    <row r="39" spans="1:34" ht="15" customHeight="1">
      <c r="A39" s="2" t="s">
        <v>334</v>
      </c>
      <c r="B39" s="2" t="s">
        <v>335</v>
      </c>
      <c r="C39" s="2" t="s">
        <v>336</v>
      </c>
      <c r="D39" s="2" t="s">
        <v>37</v>
      </c>
      <c r="E39" s="2" t="s">
        <v>208</v>
      </c>
      <c r="F39" s="2" t="s">
        <v>209</v>
      </c>
      <c r="G39" s="2">
        <v>0</v>
      </c>
      <c r="H39" s="2">
        <v>5</v>
      </c>
      <c r="I39" s="2" t="s">
        <v>40</v>
      </c>
      <c r="J39" s="2" t="s">
        <v>337</v>
      </c>
      <c r="K39" s="2" t="s">
        <v>338</v>
      </c>
      <c r="L39" s="2" t="s">
        <v>96</v>
      </c>
      <c r="M39" s="2"/>
      <c r="N39" s="2"/>
      <c r="O39" s="2"/>
      <c r="P39" s="2"/>
      <c r="Q39" s="2" t="s">
        <v>339</v>
      </c>
      <c r="R39" s="2" t="b">
        <v>1</v>
      </c>
      <c r="S39" s="2" t="s">
        <v>340</v>
      </c>
      <c r="T39" s="2">
        <v>6</v>
      </c>
      <c r="U39" s="2" t="s">
        <v>341</v>
      </c>
      <c r="V39" s="2">
        <v>0</v>
      </c>
      <c r="W39" s="2" t="s">
        <v>45</v>
      </c>
      <c r="X39" s="2" t="s">
        <v>342</v>
      </c>
      <c r="Y39" s="2"/>
      <c r="Z39" s="2" t="s">
        <v>100</v>
      </c>
      <c r="AA39" s="2" t="s">
        <v>48</v>
      </c>
      <c r="AB39" s="2" t="s">
        <v>343</v>
      </c>
      <c r="AC39" s="3">
        <v>46303</v>
      </c>
      <c r="AD39" s="4">
        <f>(LEN(PlannerTasks[[#This Row],[ChecklistSummary]])-LEN(SUBSTITUTE(PlannerTasks[[#This Row],[ChecklistSummary]],"""isChecked"":true","")))/LEN("""isChecked"":true")</f>
        <v>1</v>
      </c>
      <c r="AE39" s="4">
        <f>PlannerTasks[[#This Row],[ChecklistItemCount]]-PlannerTasks[[#This Row],[ChecklistDone]]</f>
        <v>5</v>
      </c>
      <c r="AF39" s="4" t="str">
        <f ca="1">IF(OR(PlannerTasks[[#This Row],[DueDateTime]]="",PlannerTasks[[#This Row],[PercentComplete]]=100),"No",IF(DATEVALUE(LEFT(PlannerTasks[[#This Row],[DueDateTime]],10))&lt;TODAY(),"Yes","No"))</f>
        <v>No</v>
      </c>
      <c r="AG39" s="4">
        <f ca="1">IF(PlannerTasks[[#This Row],[IsOverdue]]="Yes",TODAY()-DATEVALUE(LEFT(PlannerTasks[[#This Row],[DueDateTime]],10)),0)</f>
        <v>0</v>
      </c>
      <c r="AH39" s="4" t="str">
        <f ca="1">IF(OR(PlannerTasks[[#This Row],[DueDateTime]]="",PlannerTasks[[#This Row],[PercentComplete]]=100),"",DATEVALUE(LEFT(PlannerTasks[[#This Row],[DueDateTime]],10))-TODAY())</f>
        <v/>
      </c>
    </row>
    <row r="40" spans="1:34" ht="15" customHeight="1">
      <c r="A40" s="2" t="s">
        <v>344</v>
      </c>
      <c r="B40" s="2" t="s">
        <v>345</v>
      </c>
      <c r="C40" s="2" t="s">
        <v>346</v>
      </c>
      <c r="D40" s="2" t="s">
        <v>37</v>
      </c>
      <c r="E40" s="2" t="s">
        <v>84</v>
      </c>
      <c r="F40" s="2" t="s">
        <v>85</v>
      </c>
      <c r="G40" s="2">
        <v>0</v>
      </c>
      <c r="H40" s="2">
        <v>5</v>
      </c>
      <c r="I40" s="2" t="s">
        <v>40</v>
      </c>
      <c r="J40" s="2" t="s">
        <v>347</v>
      </c>
      <c r="K40" s="2" t="s">
        <v>348</v>
      </c>
      <c r="L40" s="2" t="s">
        <v>96</v>
      </c>
      <c r="M40" s="2"/>
      <c r="N40" s="2" t="s">
        <v>349</v>
      </c>
      <c r="O40" s="2"/>
      <c r="P40" s="2"/>
      <c r="Q40" s="2" t="s">
        <v>350</v>
      </c>
      <c r="R40" s="2" t="b">
        <v>1</v>
      </c>
      <c r="S40" s="2" t="s">
        <v>351</v>
      </c>
      <c r="T40" s="2">
        <v>9</v>
      </c>
      <c r="U40" s="2" t="s">
        <v>352</v>
      </c>
      <c r="V40" s="2">
        <v>0</v>
      </c>
      <c r="W40" s="2" t="s">
        <v>45</v>
      </c>
      <c r="X40" s="2" t="s">
        <v>353</v>
      </c>
      <c r="Y40" s="2"/>
      <c r="Z40" s="2" t="s">
        <v>100</v>
      </c>
      <c r="AA40" s="2" t="s">
        <v>48</v>
      </c>
      <c r="AB40" s="2" t="s">
        <v>354</v>
      </c>
      <c r="AC40" s="3">
        <v>46303</v>
      </c>
      <c r="AD40" s="4">
        <f>(LEN(PlannerTasks[[#This Row],[ChecklistSummary]])-LEN(SUBSTITUTE(PlannerTasks[[#This Row],[ChecklistSummary]],"""isChecked"":true","")))/LEN("""isChecked"":true")</f>
        <v>2</v>
      </c>
      <c r="AE40" s="4">
        <f>PlannerTasks[[#This Row],[ChecklistItemCount]]-PlannerTasks[[#This Row],[ChecklistDone]]</f>
        <v>7</v>
      </c>
      <c r="AF40" s="4" t="str">
        <f ca="1">IF(OR(PlannerTasks[[#This Row],[DueDateTime]]="",PlannerTasks[[#This Row],[PercentComplete]]=100),"No",IF(DATEVALUE(LEFT(PlannerTasks[[#This Row],[DueDateTime]],10))&lt;TODAY(),"Yes","No"))</f>
        <v>No</v>
      </c>
      <c r="AG40" s="4">
        <f ca="1">IF(PlannerTasks[[#This Row],[IsOverdue]]="Yes",TODAY()-DATEVALUE(LEFT(PlannerTasks[[#This Row],[DueDateTime]],10)),0)</f>
        <v>0</v>
      </c>
      <c r="AH40" s="4">
        <f ca="1">IF(OR(PlannerTasks[[#This Row],[DueDateTime]]="",PlannerTasks[[#This Row],[PercentComplete]]=100),"",DATEVALUE(LEFT(PlannerTasks[[#This Row],[DueDateTime]],10))-TODAY())</f>
        <v>7</v>
      </c>
    </row>
    <row r="41" spans="1:34" ht="15" customHeight="1">
      <c r="A41" s="2" t="s">
        <v>355</v>
      </c>
      <c r="B41" s="2" t="s">
        <v>356</v>
      </c>
      <c r="C41" s="2" t="s">
        <v>357</v>
      </c>
      <c r="D41" s="2" t="s">
        <v>37</v>
      </c>
      <c r="E41" s="2" t="s">
        <v>61</v>
      </c>
      <c r="F41" s="2" t="s">
        <v>62</v>
      </c>
      <c r="G41" s="2">
        <v>0</v>
      </c>
      <c r="H41" s="2">
        <v>5</v>
      </c>
      <c r="I41" s="2" t="s">
        <v>40</v>
      </c>
      <c r="J41" s="2" t="s">
        <v>358</v>
      </c>
      <c r="K41" s="2" t="s">
        <v>359</v>
      </c>
      <c r="L41" s="2" t="s">
        <v>43</v>
      </c>
      <c r="M41" s="2"/>
      <c r="N41" s="2"/>
      <c r="O41" s="2"/>
      <c r="P41" s="2"/>
      <c r="Q41" s="2" t="s">
        <v>360</v>
      </c>
      <c r="R41" s="2" t="b">
        <v>0</v>
      </c>
      <c r="S41" s="2"/>
      <c r="T41" s="2">
        <v>0</v>
      </c>
      <c r="U41" s="2" t="s">
        <v>45</v>
      </c>
      <c r="V41" s="2">
        <v>0</v>
      </c>
      <c r="W41" s="2" t="s">
        <v>45</v>
      </c>
      <c r="X41" s="2" t="s">
        <v>361</v>
      </c>
      <c r="Y41" s="2"/>
      <c r="Z41" s="2" t="s">
        <v>47</v>
      </c>
      <c r="AA41" s="2" t="s">
        <v>48</v>
      </c>
      <c r="AB41" s="2" t="s">
        <v>362</v>
      </c>
      <c r="AC41" s="3">
        <v>46303</v>
      </c>
      <c r="AD41" s="4">
        <f>(LEN(PlannerTasks[[#This Row],[ChecklistSummary]])-LEN(SUBSTITUTE(PlannerTasks[[#This Row],[ChecklistSummary]],"""isChecked"":true","")))/LEN("""isChecked"":true")</f>
        <v>0</v>
      </c>
      <c r="AE41" s="4">
        <f>PlannerTasks[[#This Row],[ChecklistItemCount]]-PlannerTasks[[#This Row],[ChecklistDone]]</f>
        <v>0</v>
      </c>
      <c r="AF41" s="4" t="str">
        <f ca="1">IF(OR(PlannerTasks[[#This Row],[DueDateTime]]="",PlannerTasks[[#This Row],[PercentComplete]]=100),"No",IF(DATEVALUE(LEFT(PlannerTasks[[#This Row],[DueDateTime]],10))&lt;TODAY(),"Yes","No"))</f>
        <v>No</v>
      </c>
      <c r="AG41" s="4">
        <f ca="1">IF(PlannerTasks[[#This Row],[IsOverdue]]="Yes",TODAY()-DATEVALUE(LEFT(PlannerTasks[[#This Row],[DueDateTime]],10)),0)</f>
        <v>0</v>
      </c>
      <c r="AH41" s="4" t="str">
        <f ca="1">IF(OR(PlannerTasks[[#This Row],[DueDateTime]]="",PlannerTasks[[#This Row],[PercentComplete]]=100),"",DATEVALUE(LEFT(PlannerTasks[[#This Row],[DueDateTime]],10))-TODAY())</f>
        <v/>
      </c>
    </row>
    <row r="42" spans="1:34" ht="15" customHeight="1">
      <c r="A42" s="2" t="s">
        <v>363</v>
      </c>
      <c r="B42" s="2" t="s">
        <v>364</v>
      </c>
      <c r="C42" s="2" t="s">
        <v>365</v>
      </c>
      <c r="D42" s="2" t="s">
        <v>37</v>
      </c>
      <c r="E42" s="2" t="s">
        <v>208</v>
      </c>
      <c r="F42" s="2" t="s">
        <v>209</v>
      </c>
      <c r="G42" s="2">
        <v>0</v>
      </c>
      <c r="H42" s="2">
        <v>5</v>
      </c>
      <c r="I42" s="2" t="s">
        <v>40</v>
      </c>
      <c r="J42" s="2" t="s">
        <v>366</v>
      </c>
      <c r="K42" s="2" t="s">
        <v>367</v>
      </c>
      <c r="L42" s="2" t="s">
        <v>43</v>
      </c>
      <c r="M42" s="2"/>
      <c r="N42" s="2"/>
      <c r="O42" s="2"/>
      <c r="P42" s="2"/>
      <c r="Q42" s="2" t="s">
        <v>368</v>
      </c>
      <c r="R42" s="2" t="b">
        <v>0</v>
      </c>
      <c r="S42" s="2"/>
      <c r="T42" s="2">
        <v>0</v>
      </c>
      <c r="U42" s="2" t="s">
        <v>45</v>
      </c>
      <c r="V42" s="2">
        <v>0</v>
      </c>
      <c r="W42" s="2" t="s">
        <v>45</v>
      </c>
      <c r="X42" s="2" t="s">
        <v>369</v>
      </c>
      <c r="Y42" s="2"/>
      <c r="Z42" s="2" t="s">
        <v>47</v>
      </c>
      <c r="AA42" s="2" t="s">
        <v>48</v>
      </c>
      <c r="AB42" s="2" t="s">
        <v>370</v>
      </c>
      <c r="AC42" s="3">
        <v>46303</v>
      </c>
      <c r="AD42" s="4">
        <f>(LEN(PlannerTasks[[#This Row],[ChecklistSummary]])-LEN(SUBSTITUTE(PlannerTasks[[#This Row],[ChecklistSummary]],"""isChecked"":true","")))/LEN("""isChecked"":true")</f>
        <v>0</v>
      </c>
      <c r="AE42" s="4">
        <f>PlannerTasks[[#This Row],[ChecklistItemCount]]-PlannerTasks[[#This Row],[ChecklistDone]]</f>
        <v>0</v>
      </c>
      <c r="AF42" s="4" t="str">
        <f ca="1">IF(OR(PlannerTasks[[#This Row],[DueDateTime]]="",PlannerTasks[[#This Row],[PercentComplete]]=100),"No",IF(DATEVALUE(LEFT(PlannerTasks[[#This Row],[DueDateTime]],10))&lt;TODAY(),"Yes","No"))</f>
        <v>No</v>
      </c>
      <c r="AG42" s="4">
        <f ca="1">IF(PlannerTasks[[#This Row],[IsOverdue]]="Yes",TODAY()-DATEVALUE(LEFT(PlannerTasks[[#This Row],[DueDateTime]],10)),0)</f>
        <v>0</v>
      </c>
      <c r="AH42" s="4" t="str">
        <f ca="1">IF(OR(PlannerTasks[[#This Row],[DueDateTime]]="",PlannerTasks[[#This Row],[PercentComplete]]=100),"",DATEVALUE(LEFT(PlannerTasks[[#This Row],[DueDateTime]],10))-TODAY())</f>
        <v/>
      </c>
    </row>
    <row r="43" spans="1:34" ht="15" customHeight="1">
      <c r="A43" s="2" t="s">
        <v>371</v>
      </c>
      <c r="B43" s="2" t="s">
        <v>372</v>
      </c>
      <c r="C43" s="2" t="s">
        <v>373</v>
      </c>
      <c r="D43" s="2" t="s">
        <v>37</v>
      </c>
      <c r="E43" s="2" t="s">
        <v>208</v>
      </c>
      <c r="F43" s="2" t="s">
        <v>209</v>
      </c>
      <c r="G43" s="2">
        <v>0</v>
      </c>
      <c r="H43" s="2">
        <v>5</v>
      </c>
      <c r="I43" s="2" t="s">
        <v>40</v>
      </c>
      <c r="J43" s="2" t="s">
        <v>374</v>
      </c>
      <c r="K43" s="2" t="s">
        <v>375</v>
      </c>
      <c r="L43" s="2" t="s">
        <v>43</v>
      </c>
      <c r="M43" s="2"/>
      <c r="N43" s="2"/>
      <c r="O43" s="2"/>
      <c r="P43" s="2"/>
      <c r="Q43" s="2" t="s">
        <v>376</v>
      </c>
      <c r="R43" s="2" t="b">
        <v>0</v>
      </c>
      <c r="S43" s="2"/>
      <c r="T43" s="2">
        <v>0</v>
      </c>
      <c r="U43" s="2" t="s">
        <v>45</v>
      </c>
      <c r="V43" s="2">
        <v>0</v>
      </c>
      <c r="W43" s="2" t="s">
        <v>45</v>
      </c>
      <c r="X43" s="2" t="s">
        <v>377</v>
      </c>
      <c r="Y43" s="2"/>
      <c r="Z43" s="2" t="s">
        <v>47</v>
      </c>
      <c r="AA43" s="2" t="s">
        <v>48</v>
      </c>
      <c r="AB43" s="2" t="s">
        <v>378</v>
      </c>
      <c r="AC43" s="3">
        <v>46303</v>
      </c>
      <c r="AD43" s="4">
        <f>(LEN(PlannerTasks[[#This Row],[ChecklistSummary]])-LEN(SUBSTITUTE(PlannerTasks[[#This Row],[ChecklistSummary]],"""isChecked"":true","")))/LEN("""isChecked"":true")</f>
        <v>0</v>
      </c>
      <c r="AE43" s="4">
        <f>PlannerTasks[[#This Row],[ChecklistItemCount]]-PlannerTasks[[#This Row],[ChecklistDone]]</f>
        <v>0</v>
      </c>
      <c r="AF43" s="4" t="str">
        <f ca="1">IF(OR(PlannerTasks[[#This Row],[DueDateTime]]="",PlannerTasks[[#This Row],[PercentComplete]]=100),"No",IF(DATEVALUE(LEFT(PlannerTasks[[#This Row],[DueDateTime]],10))&lt;TODAY(),"Yes","No"))</f>
        <v>No</v>
      </c>
      <c r="AG43" s="4">
        <f ca="1">IF(PlannerTasks[[#This Row],[IsOverdue]]="Yes",TODAY()-DATEVALUE(LEFT(PlannerTasks[[#This Row],[DueDateTime]],10)),0)</f>
        <v>0</v>
      </c>
      <c r="AH43" s="4" t="str">
        <f ca="1">IF(OR(PlannerTasks[[#This Row],[DueDateTime]]="",PlannerTasks[[#This Row],[PercentComplete]]=100),"",DATEVALUE(LEFT(PlannerTasks[[#This Row],[DueDateTime]],10))-TODAY())</f>
        <v/>
      </c>
    </row>
    <row r="44" spans="1:34" ht="15" customHeight="1">
      <c r="A44" s="2" t="s">
        <v>379</v>
      </c>
      <c r="B44" s="2" t="s">
        <v>380</v>
      </c>
      <c r="C44" s="2" t="s">
        <v>381</v>
      </c>
      <c r="D44" s="2" t="s">
        <v>37</v>
      </c>
      <c r="E44" s="2" t="s">
        <v>208</v>
      </c>
      <c r="F44" s="2" t="s">
        <v>209</v>
      </c>
      <c r="G44" s="2">
        <v>0</v>
      </c>
      <c r="H44" s="2">
        <v>5</v>
      </c>
      <c r="I44" s="2" t="s">
        <v>40</v>
      </c>
      <c r="J44" s="2" t="s">
        <v>382</v>
      </c>
      <c r="K44" s="2" t="s">
        <v>383</v>
      </c>
      <c r="L44" s="2" t="s">
        <v>43</v>
      </c>
      <c r="M44" s="2"/>
      <c r="N44" s="2"/>
      <c r="O44" s="2"/>
      <c r="P44" s="2"/>
      <c r="Q44" s="2" t="s">
        <v>202</v>
      </c>
      <c r="R44" s="2" t="b">
        <v>0</v>
      </c>
      <c r="S44" s="2"/>
      <c r="T44" s="2">
        <v>0</v>
      </c>
      <c r="U44" s="2" t="s">
        <v>45</v>
      </c>
      <c r="V44" s="2">
        <v>0</v>
      </c>
      <c r="W44" s="2" t="s">
        <v>45</v>
      </c>
      <c r="X44" s="2" t="s">
        <v>384</v>
      </c>
      <c r="Y44" s="2"/>
      <c r="Z44" s="2" t="s">
        <v>47</v>
      </c>
      <c r="AA44" s="2" t="s">
        <v>48</v>
      </c>
      <c r="AB44" s="2" t="s">
        <v>204</v>
      </c>
      <c r="AC44" s="3">
        <v>46303</v>
      </c>
      <c r="AD44" s="4">
        <f>(LEN(PlannerTasks[[#This Row],[ChecklistSummary]])-LEN(SUBSTITUTE(PlannerTasks[[#This Row],[ChecklistSummary]],"""isChecked"":true","")))/LEN("""isChecked"":true")</f>
        <v>0</v>
      </c>
      <c r="AE44" s="4">
        <f>PlannerTasks[[#This Row],[ChecklistItemCount]]-PlannerTasks[[#This Row],[ChecklistDone]]</f>
        <v>0</v>
      </c>
      <c r="AF44" s="4" t="str">
        <f ca="1">IF(OR(PlannerTasks[[#This Row],[DueDateTime]]="",PlannerTasks[[#This Row],[PercentComplete]]=100),"No",IF(DATEVALUE(LEFT(PlannerTasks[[#This Row],[DueDateTime]],10))&lt;TODAY(),"Yes","No"))</f>
        <v>No</v>
      </c>
      <c r="AG44" s="4">
        <f ca="1">IF(PlannerTasks[[#This Row],[IsOverdue]]="Yes",TODAY()-DATEVALUE(LEFT(PlannerTasks[[#This Row],[DueDateTime]],10)),0)</f>
        <v>0</v>
      </c>
      <c r="AH44" s="4" t="str">
        <f ca="1">IF(OR(PlannerTasks[[#This Row],[DueDateTime]]="",PlannerTasks[[#This Row],[PercentComplete]]=100),"",DATEVALUE(LEFT(PlannerTasks[[#This Row],[DueDateTime]],10))-TODAY())</f>
        <v/>
      </c>
    </row>
    <row r="45" spans="1:34" ht="15" customHeight="1">
      <c r="A45" s="2" t="s">
        <v>385</v>
      </c>
      <c r="B45" s="2" t="s">
        <v>386</v>
      </c>
      <c r="C45" s="2" t="s">
        <v>387</v>
      </c>
      <c r="D45" s="2" t="s">
        <v>37</v>
      </c>
      <c r="E45" s="2" t="s">
        <v>61</v>
      </c>
      <c r="F45" s="2" t="s">
        <v>62</v>
      </c>
      <c r="G45" s="2">
        <v>0</v>
      </c>
      <c r="H45" s="2">
        <v>5</v>
      </c>
      <c r="I45" s="2" t="s">
        <v>40</v>
      </c>
      <c r="J45" s="2" t="s">
        <v>388</v>
      </c>
      <c r="K45" s="2" t="s">
        <v>389</v>
      </c>
      <c r="L45" s="2" t="s">
        <v>390</v>
      </c>
      <c r="M45" s="2"/>
      <c r="N45" s="2"/>
      <c r="O45" s="2"/>
      <c r="P45" s="2"/>
      <c r="Q45" s="2" t="s">
        <v>391</v>
      </c>
      <c r="R45" s="2" t="b">
        <v>1</v>
      </c>
      <c r="S45" s="2" t="s">
        <v>392</v>
      </c>
      <c r="T45" s="2">
        <v>0</v>
      </c>
      <c r="U45" s="2" t="s">
        <v>45</v>
      </c>
      <c r="V45" s="2">
        <v>0</v>
      </c>
      <c r="W45" s="2" t="s">
        <v>45</v>
      </c>
      <c r="X45" s="2" t="s">
        <v>393</v>
      </c>
      <c r="Y45" s="2"/>
      <c r="Z45" s="2" t="s">
        <v>70</v>
      </c>
      <c r="AA45" s="2" t="s">
        <v>48</v>
      </c>
      <c r="AB45" s="2" t="s">
        <v>394</v>
      </c>
      <c r="AC45" s="3">
        <v>46303</v>
      </c>
      <c r="AD45" s="4">
        <f>(LEN(PlannerTasks[[#This Row],[ChecklistSummary]])-LEN(SUBSTITUTE(PlannerTasks[[#This Row],[ChecklistSummary]],"""isChecked"":true","")))/LEN("""isChecked"":true")</f>
        <v>0</v>
      </c>
      <c r="AE45" s="4">
        <f>PlannerTasks[[#This Row],[ChecklistItemCount]]-PlannerTasks[[#This Row],[ChecklistDone]]</f>
        <v>0</v>
      </c>
      <c r="AF45" s="4" t="str">
        <f ca="1">IF(OR(PlannerTasks[[#This Row],[DueDateTime]]="",PlannerTasks[[#This Row],[PercentComplete]]=100),"No",IF(DATEVALUE(LEFT(PlannerTasks[[#This Row],[DueDateTime]],10))&lt;TODAY(),"Yes","No"))</f>
        <v>No</v>
      </c>
      <c r="AG45" s="4">
        <f ca="1">IF(PlannerTasks[[#This Row],[IsOverdue]]="Yes",TODAY()-DATEVALUE(LEFT(PlannerTasks[[#This Row],[DueDateTime]],10)),0)</f>
        <v>0</v>
      </c>
      <c r="AH45" s="4" t="str">
        <f ca="1">IF(OR(PlannerTasks[[#This Row],[DueDateTime]]="",PlannerTasks[[#This Row],[PercentComplete]]=100),"",DATEVALUE(LEFT(PlannerTasks[[#This Row],[DueDateTime]],10))-TODAY())</f>
        <v/>
      </c>
    </row>
    <row r="46" spans="1:34" ht="15" customHeight="1">
      <c r="A46" s="2" t="s">
        <v>395</v>
      </c>
      <c r="B46" s="2" t="s">
        <v>396</v>
      </c>
      <c r="C46" s="2" t="s">
        <v>397</v>
      </c>
      <c r="D46" s="2" t="s">
        <v>37</v>
      </c>
      <c r="E46" s="2" t="s">
        <v>74</v>
      </c>
      <c r="F46" s="2" t="s">
        <v>75</v>
      </c>
      <c r="G46" s="2">
        <v>0</v>
      </c>
      <c r="H46" s="2">
        <v>5</v>
      </c>
      <c r="I46" s="2" t="s">
        <v>40</v>
      </c>
      <c r="J46" s="2" t="s">
        <v>398</v>
      </c>
      <c r="K46" s="2" t="s">
        <v>399</v>
      </c>
      <c r="L46" s="2" t="s">
        <v>43</v>
      </c>
      <c r="M46" s="2"/>
      <c r="N46" s="2"/>
      <c r="O46" s="2"/>
      <c r="P46" s="2"/>
      <c r="Q46" s="2" t="s">
        <v>143</v>
      </c>
      <c r="R46" s="2" t="b">
        <v>0</v>
      </c>
      <c r="S46" s="2"/>
      <c r="T46" s="2">
        <v>0</v>
      </c>
      <c r="U46" s="2" t="s">
        <v>45</v>
      </c>
      <c r="V46" s="2">
        <v>0</v>
      </c>
      <c r="W46" s="2" t="s">
        <v>45</v>
      </c>
      <c r="X46" s="2" t="s">
        <v>400</v>
      </c>
      <c r="Y46" s="2"/>
      <c r="Z46" s="2" t="s">
        <v>47</v>
      </c>
      <c r="AA46" s="2" t="s">
        <v>48</v>
      </c>
      <c r="AB46" s="2" t="s">
        <v>145</v>
      </c>
      <c r="AC46" s="3">
        <v>46302</v>
      </c>
      <c r="AD46" s="4">
        <f>(LEN(PlannerTasks[[#This Row],[ChecklistSummary]])-LEN(SUBSTITUTE(PlannerTasks[[#This Row],[ChecklistSummary]],"""isChecked"":true","")))/LEN("""isChecked"":true")</f>
        <v>0</v>
      </c>
      <c r="AE46" s="4">
        <f>PlannerTasks[[#This Row],[ChecklistItemCount]]-PlannerTasks[[#This Row],[ChecklistDone]]</f>
        <v>0</v>
      </c>
      <c r="AF46" s="4" t="str">
        <f ca="1">IF(OR(PlannerTasks[[#This Row],[DueDateTime]]="",PlannerTasks[[#This Row],[PercentComplete]]=100),"No",IF(DATEVALUE(LEFT(PlannerTasks[[#This Row],[DueDateTime]],10))&lt;TODAY(),"Yes","No"))</f>
        <v>No</v>
      </c>
      <c r="AG46" s="4">
        <f ca="1">IF(PlannerTasks[[#This Row],[IsOverdue]]="Yes",TODAY()-DATEVALUE(LEFT(PlannerTasks[[#This Row],[DueDateTime]],10)),0)</f>
        <v>0</v>
      </c>
      <c r="AH46" s="4" t="str">
        <f ca="1">IF(OR(PlannerTasks[[#This Row],[DueDateTime]]="",PlannerTasks[[#This Row],[PercentComplete]]=100),"",DATEVALUE(LEFT(PlannerTasks[[#This Row],[DueDateTime]],10))-TODAY())</f>
        <v/>
      </c>
    </row>
    <row r="47" spans="1:34" ht="15" customHeight="1">
      <c r="A47" s="2" t="s">
        <v>401</v>
      </c>
      <c r="B47" s="2" t="s">
        <v>402</v>
      </c>
      <c r="C47" s="2" t="s">
        <v>403</v>
      </c>
      <c r="D47" s="2" t="s">
        <v>37</v>
      </c>
      <c r="E47" s="2" t="s">
        <v>208</v>
      </c>
      <c r="F47" s="2" t="s">
        <v>209</v>
      </c>
      <c r="G47" s="2">
        <v>0</v>
      </c>
      <c r="H47" s="2">
        <v>5</v>
      </c>
      <c r="I47" s="2" t="s">
        <v>40</v>
      </c>
      <c r="J47" s="2" t="s">
        <v>404</v>
      </c>
      <c r="K47" s="2" t="s">
        <v>405</v>
      </c>
      <c r="L47" s="2" t="s">
        <v>43</v>
      </c>
      <c r="M47" s="2"/>
      <c r="N47" s="2"/>
      <c r="O47" s="2"/>
      <c r="P47" s="2"/>
      <c r="Q47" s="2" t="s">
        <v>67</v>
      </c>
      <c r="R47" s="2" t="b">
        <v>0</v>
      </c>
      <c r="S47" s="2"/>
      <c r="T47" s="2">
        <v>0</v>
      </c>
      <c r="U47" s="2" t="s">
        <v>45</v>
      </c>
      <c r="V47" s="2">
        <v>0</v>
      </c>
      <c r="W47" s="2" t="s">
        <v>45</v>
      </c>
      <c r="X47" s="2" t="s">
        <v>406</v>
      </c>
      <c r="Y47" s="2"/>
      <c r="Z47" s="2" t="s">
        <v>47</v>
      </c>
      <c r="AA47" s="2" t="s">
        <v>48</v>
      </c>
      <c r="AB47" s="2"/>
      <c r="AC47" s="3">
        <v>46302</v>
      </c>
      <c r="AD47" s="4">
        <f>(LEN(PlannerTasks[[#This Row],[ChecklistSummary]])-LEN(SUBSTITUTE(PlannerTasks[[#This Row],[ChecklistSummary]],"""isChecked"":true","")))/LEN("""isChecked"":true")</f>
        <v>0</v>
      </c>
      <c r="AE47" s="4">
        <f>PlannerTasks[[#This Row],[ChecklistItemCount]]-PlannerTasks[[#This Row],[ChecklistDone]]</f>
        <v>0</v>
      </c>
      <c r="AF47" s="4" t="str">
        <f ca="1">IF(OR(PlannerTasks[[#This Row],[DueDateTime]]="",PlannerTasks[[#This Row],[PercentComplete]]=100),"No",IF(DATEVALUE(LEFT(PlannerTasks[[#This Row],[DueDateTime]],10))&lt;TODAY(),"Yes","No"))</f>
        <v>No</v>
      </c>
      <c r="AG47" s="4">
        <f ca="1">IF(PlannerTasks[[#This Row],[IsOverdue]]="Yes",TODAY()-DATEVALUE(LEFT(PlannerTasks[[#This Row],[DueDateTime]],10)),0)</f>
        <v>0</v>
      </c>
      <c r="AH47" s="4" t="str">
        <f ca="1">IF(OR(PlannerTasks[[#This Row],[DueDateTime]]="",PlannerTasks[[#This Row],[PercentComplete]]=100),"",DATEVALUE(LEFT(PlannerTasks[[#This Row],[DueDateTime]],10))-TODAY())</f>
        <v/>
      </c>
    </row>
    <row r="48" spans="1:34" ht="15" customHeight="1">
      <c r="A48" s="2" t="s">
        <v>407</v>
      </c>
      <c r="B48" s="2" t="s">
        <v>408</v>
      </c>
      <c r="C48" s="2" t="s">
        <v>409</v>
      </c>
      <c r="D48" s="2" t="s">
        <v>37</v>
      </c>
      <c r="E48" s="2" t="s">
        <v>208</v>
      </c>
      <c r="F48" s="2" t="s">
        <v>209</v>
      </c>
      <c r="G48" s="2">
        <v>0</v>
      </c>
      <c r="H48" s="2">
        <v>5</v>
      </c>
      <c r="I48" s="2" t="s">
        <v>40</v>
      </c>
      <c r="J48" s="2" t="s">
        <v>410</v>
      </c>
      <c r="K48" s="2" t="s">
        <v>411</v>
      </c>
      <c r="L48" s="2" t="s">
        <v>43</v>
      </c>
      <c r="M48" s="2"/>
      <c r="N48" s="2"/>
      <c r="O48" s="2"/>
      <c r="P48" s="2"/>
      <c r="Q48" s="2" t="s">
        <v>360</v>
      </c>
      <c r="R48" s="2" t="b">
        <v>0</v>
      </c>
      <c r="S48" s="2"/>
      <c r="T48" s="2">
        <v>0</v>
      </c>
      <c r="U48" s="2" t="s">
        <v>45</v>
      </c>
      <c r="V48" s="2">
        <v>1</v>
      </c>
      <c r="W48" s="2" t="s">
        <v>412</v>
      </c>
      <c r="X48" s="2" t="s">
        <v>413</v>
      </c>
      <c r="Y48" s="2"/>
      <c r="Z48" s="2" t="s">
        <v>47</v>
      </c>
      <c r="AA48" s="2" t="s">
        <v>48</v>
      </c>
      <c r="AB48" s="2" t="s">
        <v>362</v>
      </c>
      <c r="AC48" s="3">
        <v>46301</v>
      </c>
      <c r="AD48" s="4">
        <f>(LEN(PlannerTasks[[#This Row],[ChecklistSummary]])-LEN(SUBSTITUTE(PlannerTasks[[#This Row],[ChecklistSummary]],"""isChecked"":true","")))/LEN("""isChecked"":true")</f>
        <v>0</v>
      </c>
      <c r="AE48" s="4">
        <f>PlannerTasks[[#This Row],[ChecklistItemCount]]-PlannerTasks[[#This Row],[ChecklistDone]]</f>
        <v>0</v>
      </c>
      <c r="AF48" s="4" t="str">
        <f ca="1">IF(OR(PlannerTasks[[#This Row],[DueDateTime]]="",PlannerTasks[[#This Row],[PercentComplete]]=100),"No",IF(DATEVALUE(LEFT(PlannerTasks[[#This Row],[DueDateTime]],10))&lt;TODAY(),"Yes","No"))</f>
        <v>No</v>
      </c>
      <c r="AG48" s="4">
        <f ca="1">IF(PlannerTasks[[#This Row],[IsOverdue]]="Yes",TODAY()-DATEVALUE(LEFT(PlannerTasks[[#This Row],[DueDateTime]],10)),0)</f>
        <v>0</v>
      </c>
      <c r="AH48" s="4" t="str">
        <f ca="1">IF(OR(PlannerTasks[[#This Row],[DueDateTime]]="",PlannerTasks[[#This Row],[PercentComplete]]=100),"",DATEVALUE(LEFT(PlannerTasks[[#This Row],[DueDateTime]],10))-TODAY())</f>
        <v/>
      </c>
    </row>
    <row r="49" spans="1:34" ht="15" customHeight="1">
      <c r="A49" s="2" t="s">
        <v>414</v>
      </c>
      <c r="B49" s="2" t="s">
        <v>415</v>
      </c>
      <c r="C49" s="2" t="s">
        <v>416</v>
      </c>
      <c r="D49" s="2" t="s">
        <v>37</v>
      </c>
      <c r="E49" s="2" t="s">
        <v>74</v>
      </c>
      <c r="F49" s="2" t="s">
        <v>75</v>
      </c>
      <c r="G49" s="2">
        <v>0</v>
      </c>
      <c r="H49" s="2">
        <v>5</v>
      </c>
      <c r="I49" s="2" t="s">
        <v>40</v>
      </c>
      <c r="J49" s="2" t="s">
        <v>417</v>
      </c>
      <c r="K49" s="2" t="s">
        <v>418</v>
      </c>
      <c r="L49" s="2" t="s">
        <v>390</v>
      </c>
      <c r="M49" s="2"/>
      <c r="N49" s="2" t="s">
        <v>419</v>
      </c>
      <c r="O49" s="2"/>
      <c r="P49" s="2"/>
      <c r="Q49" s="2" t="s">
        <v>186</v>
      </c>
      <c r="R49" s="2" t="b">
        <v>0</v>
      </c>
      <c r="S49" s="2"/>
      <c r="T49" s="2">
        <v>0</v>
      </c>
      <c r="U49" s="2" t="s">
        <v>45</v>
      </c>
      <c r="V49" s="2">
        <v>1</v>
      </c>
      <c r="W49" s="2" t="s">
        <v>420</v>
      </c>
      <c r="X49" s="2" t="s">
        <v>421</v>
      </c>
      <c r="Y49" s="2"/>
      <c r="Z49" s="2" t="s">
        <v>70</v>
      </c>
      <c r="AA49" s="2" t="s">
        <v>48</v>
      </c>
      <c r="AB49" s="2" t="s">
        <v>188</v>
      </c>
      <c r="AC49" s="3">
        <v>46300</v>
      </c>
      <c r="AD49" s="4">
        <f>(LEN(PlannerTasks[[#This Row],[ChecklistSummary]])-LEN(SUBSTITUTE(PlannerTasks[[#This Row],[ChecklistSummary]],"""isChecked"":true","")))/LEN("""isChecked"":true")</f>
        <v>0</v>
      </c>
      <c r="AE49" s="4">
        <f>PlannerTasks[[#This Row],[ChecklistItemCount]]-PlannerTasks[[#This Row],[ChecklistDone]]</f>
        <v>0</v>
      </c>
      <c r="AF49" s="4" t="str">
        <f ca="1">IF(OR(PlannerTasks[[#This Row],[DueDateTime]]="",PlannerTasks[[#This Row],[PercentComplete]]=100),"No",IF(DATEVALUE(LEFT(PlannerTasks[[#This Row],[DueDateTime]],10))&lt;TODAY(),"Yes","No"))</f>
        <v>No</v>
      </c>
      <c r="AG49" s="4">
        <f ca="1">IF(PlannerTasks[[#This Row],[IsOverdue]]="Yes",TODAY()-DATEVALUE(LEFT(PlannerTasks[[#This Row],[DueDateTime]],10)),0)</f>
        <v>0</v>
      </c>
      <c r="AH49" s="4">
        <f ca="1">IF(OR(PlannerTasks[[#This Row],[DueDateTime]]="",PlannerTasks[[#This Row],[PercentComplete]]=100),"",DATEVALUE(LEFT(PlannerTasks[[#This Row],[DueDateTime]],10))-TODAY())</f>
        <v>2</v>
      </c>
    </row>
    <row r="50" spans="1:34" ht="15" customHeight="1">
      <c r="A50" s="2" t="s">
        <v>422</v>
      </c>
      <c r="B50" s="2" t="s">
        <v>423</v>
      </c>
      <c r="C50" s="2" t="s">
        <v>424</v>
      </c>
      <c r="D50" s="2" t="s">
        <v>37</v>
      </c>
      <c r="E50" s="2" t="s">
        <v>84</v>
      </c>
      <c r="F50" s="2" t="s">
        <v>85</v>
      </c>
      <c r="G50" s="2">
        <v>0</v>
      </c>
      <c r="H50" s="2">
        <v>5</v>
      </c>
      <c r="I50" s="2" t="s">
        <v>40</v>
      </c>
      <c r="J50" s="2" t="s">
        <v>425</v>
      </c>
      <c r="K50" s="2" t="s">
        <v>426</v>
      </c>
      <c r="L50" s="2" t="s">
        <v>390</v>
      </c>
      <c r="M50" s="2"/>
      <c r="N50" s="2" t="s">
        <v>419</v>
      </c>
      <c r="O50" s="2"/>
      <c r="P50" s="2"/>
      <c r="Q50" s="2" t="s">
        <v>427</v>
      </c>
      <c r="R50" s="2" t="b">
        <v>0</v>
      </c>
      <c r="S50" s="2"/>
      <c r="T50" s="2">
        <v>0</v>
      </c>
      <c r="U50" s="2" t="s">
        <v>45</v>
      </c>
      <c r="V50" s="2">
        <v>0</v>
      </c>
      <c r="W50" s="2" t="s">
        <v>45</v>
      </c>
      <c r="X50" s="2" t="s">
        <v>428</v>
      </c>
      <c r="Y50" s="2"/>
      <c r="Z50" s="2" t="s">
        <v>70</v>
      </c>
      <c r="AA50" s="2" t="s">
        <v>48</v>
      </c>
      <c r="AB50" s="2" t="s">
        <v>429</v>
      </c>
      <c r="AC50" s="3">
        <v>46296</v>
      </c>
      <c r="AD50" s="4">
        <f>(LEN(PlannerTasks[[#This Row],[ChecklistSummary]])-LEN(SUBSTITUTE(PlannerTasks[[#This Row],[ChecklistSummary]],"""isChecked"":true","")))/LEN("""isChecked"":true")</f>
        <v>0</v>
      </c>
      <c r="AE50" s="4">
        <f>PlannerTasks[[#This Row],[ChecklistItemCount]]-PlannerTasks[[#This Row],[ChecklistDone]]</f>
        <v>0</v>
      </c>
      <c r="AF50" s="4" t="str">
        <f ca="1">IF(OR(PlannerTasks[[#This Row],[DueDateTime]]="",PlannerTasks[[#This Row],[PercentComplete]]=100),"No",IF(DATEVALUE(LEFT(PlannerTasks[[#This Row],[DueDateTime]],10))&lt;TODAY(),"Yes","No"))</f>
        <v>No</v>
      </c>
      <c r="AG50" s="4">
        <f ca="1">IF(PlannerTasks[[#This Row],[IsOverdue]]="Yes",TODAY()-DATEVALUE(LEFT(PlannerTasks[[#This Row],[DueDateTime]],10)),0)</f>
        <v>0</v>
      </c>
      <c r="AH50" s="4">
        <f ca="1">IF(OR(PlannerTasks[[#This Row],[DueDateTime]]="",PlannerTasks[[#This Row],[PercentComplete]]=100),"",DATEVALUE(LEFT(PlannerTasks[[#This Row],[DueDateTime]],10))-TODAY())</f>
        <v>2</v>
      </c>
    </row>
    <row r="51" spans="1:34" ht="15" customHeight="1">
      <c r="A51" s="2" t="s">
        <v>430</v>
      </c>
      <c r="B51" s="2" t="s">
        <v>431</v>
      </c>
      <c r="C51" s="2" t="s">
        <v>432</v>
      </c>
      <c r="D51" s="2" t="s">
        <v>37</v>
      </c>
      <c r="E51" s="2" t="s">
        <v>84</v>
      </c>
      <c r="F51" s="2" t="s">
        <v>85</v>
      </c>
      <c r="G51" s="2">
        <v>0</v>
      </c>
      <c r="H51" s="2">
        <v>5</v>
      </c>
      <c r="I51" s="2" t="s">
        <v>40</v>
      </c>
      <c r="J51" s="2" t="s">
        <v>433</v>
      </c>
      <c r="K51" s="2" t="s">
        <v>434</v>
      </c>
      <c r="L51" s="2" t="s">
        <v>43</v>
      </c>
      <c r="M51" s="2"/>
      <c r="N51" s="2"/>
      <c r="O51" s="2"/>
      <c r="P51" s="2"/>
      <c r="Q51" s="2" t="s">
        <v>307</v>
      </c>
      <c r="R51" s="2" t="b">
        <v>0</v>
      </c>
      <c r="S51" s="2"/>
      <c r="T51" s="2">
        <v>0</v>
      </c>
      <c r="U51" s="2" t="s">
        <v>45</v>
      </c>
      <c r="V51" s="2">
        <v>0</v>
      </c>
      <c r="W51" s="2" t="s">
        <v>45</v>
      </c>
      <c r="X51" s="2" t="s">
        <v>435</v>
      </c>
      <c r="Y51" s="2"/>
      <c r="Z51" s="2" t="s">
        <v>47</v>
      </c>
      <c r="AA51" s="2" t="s">
        <v>48</v>
      </c>
      <c r="AB51" s="2" t="s">
        <v>309</v>
      </c>
      <c r="AC51" s="3">
        <v>46295</v>
      </c>
      <c r="AD51" s="4">
        <f>(LEN(PlannerTasks[[#This Row],[ChecklistSummary]])-LEN(SUBSTITUTE(PlannerTasks[[#This Row],[ChecklistSummary]],"""isChecked"":true","")))/LEN("""isChecked"":true")</f>
        <v>0</v>
      </c>
      <c r="AE51" s="4">
        <f>PlannerTasks[[#This Row],[ChecklistItemCount]]-PlannerTasks[[#This Row],[ChecklistDone]]</f>
        <v>0</v>
      </c>
      <c r="AF51" s="4" t="str">
        <f ca="1">IF(OR(PlannerTasks[[#This Row],[DueDateTime]]="",PlannerTasks[[#This Row],[PercentComplete]]=100),"No",IF(DATEVALUE(LEFT(PlannerTasks[[#This Row],[DueDateTime]],10))&lt;TODAY(),"Yes","No"))</f>
        <v>No</v>
      </c>
      <c r="AG51" s="4">
        <f ca="1">IF(PlannerTasks[[#This Row],[IsOverdue]]="Yes",TODAY()-DATEVALUE(LEFT(PlannerTasks[[#This Row],[DueDateTime]],10)),0)</f>
        <v>0</v>
      </c>
      <c r="AH51" s="4" t="str">
        <f ca="1">IF(OR(PlannerTasks[[#This Row],[DueDateTime]]="",PlannerTasks[[#This Row],[PercentComplete]]=100),"",DATEVALUE(LEFT(PlannerTasks[[#This Row],[DueDateTime]],10))-TODAY())</f>
        <v/>
      </c>
    </row>
    <row r="52" spans="1:34" ht="15" customHeight="1">
      <c r="A52" s="2" t="s">
        <v>436</v>
      </c>
      <c r="B52" s="2" t="s">
        <v>437</v>
      </c>
      <c r="C52" s="2" t="s">
        <v>438</v>
      </c>
      <c r="D52" s="2" t="s">
        <v>37</v>
      </c>
      <c r="E52" s="2" t="s">
        <v>74</v>
      </c>
      <c r="F52" s="2" t="s">
        <v>75</v>
      </c>
      <c r="G52" s="2">
        <v>50</v>
      </c>
      <c r="H52" s="2">
        <v>5</v>
      </c>
      <c r="I52" s="2" t="s">
        <v>40</v>
      </c>
      <c r="J52" s="2" t="s">
        <v>439</v>
      </c>
      <c r="K52" s="2" t="s">
        <v>440</v>
      </c>
      <c r="L52" s="2" t="s">
        <v>390</v>
      </c>
      <c r="M52" s="2"/>
      <c r="N52" s="2" t="s">
        <v>66</v>
      </c>
      <c r="O52" s="2"/>
      <c r="P52" s="2"/>
      <c r="Q52" s="2" t="s">
        <v>186</v>
      </c>
      <c r="R52" s="2" t="b">
        <v>1</v>
      </c>
      <c r="S52" s="2" t="s">
        <v>441</v>
      </c>
      <c r="T52" s="2">
        <v>0</v>
      </c>
      <c r="U52" s="2" t="s">
        <v>45</v>
      </c>
      <c r="V52" s="2">
        <v>1</v>
      </c>
      <c r="W52" s="2" t="s">
        <v>442</v>
      </c>
      <c r="X52" s="2" t="s">
        <v>443</v>
      </c>
      <c r="Y52" s="2"/>
      <c r="Z52" s="2" t="s">
        <v>70</v>
      </c>
      <c r="AA52" s="2" t="s">
        <v>48</v>
      </c>
      <c r="AB52" s="2" t="s">
        <v>188</v>
      </c>
      <c r="AC52" s="3">
        <v>46295</v>
      </c>
      <c r="AD52" s="4">
        <f>(LEN(PlannerTasks[[#This Row],[ChecklistSummary]])-LEN(SUBSTITUTE(PlannerTasks[[#This Row],[ChecklistSummary]],"""isChecked"":true","")))/LEN("""isChecked"":true")</f>
        <v>0</v>
      </c>
      <c r="AE52" s="4">
        <f>PlannerTasks[[#This Row],[ChecklistItemCount]]-PlannerTasks[[#This Row],[ChecklistDone]]</f>
        <v>0</v>
      </c>
      <c r="AF52" s="4" t="str">
        <f ca="1">IF(OR(PlannerTasks[[#This Row],[DueDateTime]]="",PlannerTasks[[#This Row],[PercentComplete]]=100),"No",IF(DATEVALUE(LEFT(PlannerTasks[[#This Row],[DueDateTime]],10))&lt;TODAY(),"Yes","No"))</f>
        <v>No</v>
      </c>
      <c r="AG52" s="4">
        <f ca="1">IF(PlannerTasks[[#This Row],[IsOverdue]]="Yes",TODAY()-DATEVALUE(LEFT(PlannerTasks[[#This Row],[DueDateTime]],10)),0)</f>
        <v>0</v>
      </c>
      <c r="AH52" s="4">
        <f ca="1">IF(OR(PlannerTasks[[#This Row],[DueDateTime]]="",PlannerTasks[[#This Row],[PercentComplete]]=100),"",DATEVALUE(LEFT(PlannerTasks[[#This Row],[DueDateTime]],10))-TODAY())</f>
        <v>9</v>
      </c>
    </row>
    <row r="53" spans="1:34" ht="15" customHeight="1">
      <c r="A53" s="2" t="s">
        <v>444</v>
      </c>
      <c r="B53" s="2" t="s">
        <v>445</v>
      </c>
      <c r="C53" s="2" t="s">
        <v>446</v>
      </c>
      <c r="D53" s="2" t="s">
        <v>37</v>
      </c>
      <c r="E53" s="2" t="s">
        <v>208</v>
      </c>
      <c r="F53" s="2" t="s">
        <v>209</v>
      </c>
      <c r="G53" s="2">
        <v>50</v>
      </c>
      <c r="H53" s="2">
        <v>5</v>
      </c>
      <c r="I53" s="2" t="s">
        <v>40</v>
      </c>
      <c r="J53" s="2" t="s">
        <v>447</v>
      </c>
      <c r="K53" s="2" t="s">
        <v>448</v>
      </c>
      <c r="L53" s="2" t="s">
        <v>390</v>
      </c>
      <c r="M53" s="2"/>
      <c r="N53" s="2" t="s">
        <v>449</v>
      </c>
      <c r="O53" s="2"/>
      <c r="P53" s="2"/>
      <c r="Q53" s="2" t="s">
        <v>186</v>
      </c>
      <c r="R53" s="2" t="b">
        <v>1</v>
      </c>
      <c r="S53" s="2" t="s">
        <v>450</v>
      </c>
      <c r="T53" s="2">
        <v>0</v>
      </c>
      <c r="U53" s="2" t="s">
        <v>45</v>
      </c>
      <c r="V53" s="2">
        <v>0</v>
      </c>
      <c r="W53" s="2" t="s">
        <v>45</v>
      </c>
      <c r="X53" s="2" t="s">
        <v>451</v>
      </c>
      <c r="Y53" s="2"/>
      <c r="Z53" s="2" t="s">
        <v>70</v>
      </c>
      <c r="AA53" s="2" t="s">
        <v>48</v>
      </c>
      <c r="AB53" s="2" t="s">
        <v>188</v>
      </c>
      <c r="AC53" s="3">
        <v>46295</v>
      </c>
      <c r="AD53" s="4">
        <f>(LEN(PlannerTasks[[#This Row],[ChecklistSummary]])-LEN(SUBSTITUTE(PlannerTasks[[#This Row],[ChecklistSummary]],"""isChecked"":true","")))/LEN("""isChecked"":true")</f>
        <v>0</v>
      </c>
      <c r="AE53" s="4">
        <f>PlannerTasks[[#This Row],[ChecklistItemCount]]-PlannerTasks[[#This Row],[ChecklistDone]]</f>
        <v>0</v>
      </c>
      <c r="AF53" s="4" t="str">
        <f ca="1">IF(OR(PlannerTasks[[#This Row],[DueDateTime]]="",PlannerTasks[[#This Row],[PercentComplete]]=100),"No",IF(DATEVALUE(LEFT(PlannerTasks[[#This Row],[DueDateTime]],10))&lt;TODAY(),"Yes","No"))</f>
        <v>Yes</v>
      </c>
      <c r="AG53" s="4">
        <f ca="1">IF(PlannerTasks[[#This Row],[IsOverdue]]="Yes",TODAY()-DATEVALUE(LEFT(PlannerTasks[[#This Row],[DueDateTime]],10)),0)</f>
        <v>5</v>
      </c>
      <c r="AH53" s="4">
        <f ca="1">IF(OR(PlannerTasks[[#This Row],[DueDateTime]]="",PlannerTasks[[#This Row],[PercentComplete]]=100),"",DATEVALUE(LEFT(PlannerTasks[[#This Row],[DueDateTime]],10))-TODAY())</f>
        <v>-5</v>
      </c>
    </row>
    <row r="54" spans="1:34" ht="15" customHeight="1">
      <c r="A54" s="2" t="s">
        <v>452</v>
      </c>
      <c r="B54" s="2" t="s">
        <v>453</v>
      </c>
      <c r="C54" s="2" t="s">
        <v>454</v>
      </c>
      <c r="D54" s="2" t="s">
        <v>37</v>
      </c>
      <c r="E54" s="2" t="s">
        <v>74</v>
      </c>
      <c r="F54" s="2" t="s">
        <v>75</v>
      </c>
      <c r="G54" s="2">
        <v>50</v>
      </c>
      <c r="H54" s="2">
        <v>5</v>
      </c>
      <c r="I54" s="2" t="s">
        <v>40</v>
      </c>
      <c r="J54" s="2" t="s">
        <v>455</v>
      </c>
      <c r="K54" s="2" t="s">
        <v>456</v>
      </c>
      <c r="L54" s="2" t="s">
        <v>390</v>
      </c>
      <c r="M54" s="2"/>
      <c r="N54" s="2" t="s">
        <v>419</v>
      </c>
      <c r="O54" s="2"/>
      <c r="P54" s="2"/>
      <c r="Q54" s="2" t="s">
        <v>67</v>
      </c>
      <c r="R54" s="2" t="b">
        <v>1</v>
      </c>
      <c r="S54" s="2" t="s">
        <v>457</v>
      </c>
      <c r="T54" s="2">
        <v>0</v>
      </c>
      <c r="U54" s="2" t="s">
        <v>45</v>
      </c>
      <c r="V54" s="2">
        <v>0</v>
      </c>
      <c r="W54" s="2" t="s">
        <v>45</v>
      </c>
      <c r="X54" s="2" t="s">
        <v>458</v>
      </c>
      <c r="Y54" s="2"/>
      <c r="Z54" s="2" t="s">
        <v>70</v>
      </c>
      <c r="AA54" s="2" t="s">
        <v>48</v>
      </c>
      <c r="AB54" s="2"/>
      <c r="AC54" s="3">
        <v>46295</v>
      </c>
      <c r="AD54" s="4">
        <f>(LEN(PlannerTasks[[#This Row],[ChecklistSummary]])-LEN(SUBSTITUTE(PlannerTasks[[#This Row],[ChecklistSummary]],"""isChecked"":true","")))/LEN("""isChecked"":true")</f>
        <v>0</v>
      </c>
      <c r="AE54" s="4">
        <f>PlannerTasks[[#This Row],[ChecklistItemCount]]-PlannerTasks[[#This Row],[ChecklistDone]]</f>
        <v>0</v>
      </c>
      <c r="AF54" s="4" t="str">
        <f ca="1">IF(OR(PlannerTasks[[#This Row],[DueDateTime]]="",PlannerTasks[[#This Row],[PercentComplete]]=100),"No",IF(DATEVALUE(LEFT(PlannerTasks[[#This Row],[DueDateTime]],10))&lt;TODAY(),"Yes","No"))</f>
        <v>No</v>
      </c>
      <c r="AG54" s="4">
        <f ca="1">IF(PlannerTasks[[#This Row],[IsOverdue]]="Yes",TODAY()-DATEVALUE(LEFT(PlannerTasks[[#This Row],[DueDateTime]],10)),0)</f>
        <v>0</v>
      </c>
      <c r="AH54" s="4">
        <f ca="1">IF(OR(PlannerTasks[[#This Row],[DueDateTime]]="",PlannerTasks[[#This Row],[PercentComplete]]=100),"",DATEVALUE(LEFT(PlannerTasks[[#This Row],[DueDateTime]],10))-TODAY())</f>
        <v>2</v>
      </c>
    </row>
    <row r="55" spans="1:34" ht="15" customHeight="1">
      <c r="A55" s="2" t="s">
        <v>459</v>
      </c>
      <c r="B55" s="2" t="s">
        <v>460</v>
      </c>
      <c r="C55" s="2" t="s">
        <v>461</v>
      </c>
      <c r="D55" s="2" t="s">
        <v>37</v>
      </c>
      <c r="E55" s="2" t="s">
        <v>208</v>
      </c>
      <c r="F55" s="2" t="s">
        <v>209</v>
      </c>
      <c r="G55" s="2">
        <v>0</v>
      </c>
      <c r="H55" s="2">
        <v>5</v>
      </c>
      <c r="I55" s="2" t="s">
        <v>40</v>
      </c>
      <c r="J55" s="2" t="s">
        <v>462</v>
      </c>
      <c r="K55" s="2" t="s">
        <v>463</v>
      </c>
      <c r="L55" s="2" t="s">
        <v>390</v>
      </c>
      <c r="M55" s="2"/>
      <c r="N55" s="2"/>
      <c r="O55" s="2"/>
      <c r="P55" s="2"/>
      <c r="Q55" s="2" t="s">
        <v>186</v>
      </c>
      <c r="R55" s="2" t="b">
        <v>1</v>
      </c>
      <c r="S55" s="2" t="s">
        <v>464</v>
      </c>
      <c r="T55" s="2">
        <v>0</v>
      </c>
      <c r="U55" s="2" t="s">
        <v>45</v>
      </c>
      <c r="V55" s="2">
        <v>0</v>
      </c>
      <c r="W55" s="2" t="s">
        <v>45</v>
      </c>
      <c r="X55" s="2" t="s">
        <v>465</v>
      </c>
      <c r="Y55" s="2"/>
      <c r="Z55" s="2" t="s">
        <v>70</v>
      </c>
      <c r="AA55" s="2" t="s">
        <v>48</v>
      </c>
      <c r="AB55" s="2" t="s">
        <v>188</v>
      </c>
      <c r="AC55" s="3">
        <v>46295</v>
      </c>
      <c r="AD55" s="4">
        <f>(LEN(PlannerTasks[[#This Row],[ChecklistSummary]])-LEN(SUBSTITUTE(PlannerTasks[[#This Row],[ChecklistSummary]],"""isChecked"":true","")))/LEN("""isChecked"":true")</f>
        <v>0</v>
      </c>
      <c r="AE55" s="4">
        <f>PlannerTasks[[#This Row],[ChecklistItemCount]]-PlannerTasks[[#This Row],[ChecklistDone]]</f>
        <v>0</v>
      </c>
      <c r="AF55" s="4" t="str">
        <f ca="1">IF(OR(PlannerTasks[[#This Row],[DueDateTime]]="",PlannerTasks[[#This Row],[PercentComplete]]=100),"No",IF(DATEVALUE(LEFT(PlannerTasks[[#This Row],[DueDateTime]],10))&lt;TODAY(),"Yes","No"))</f>
        <v>No</v>
      </c>
      <c r="AG55" s="4">
        <f ca="1">IF(PlannerTasks[[#This Row],[IsOverdue]]="Yes",TODAY()-DATEVALUE(LEFT(PlannerTasks[[#This Row],[DueDateTime]],10)),0)</f>
        <v>0</v>
      </c>
      <c r="AH55" s="4" t="str">
        <f ca="1">IF(OR(PlannerTasks[[#This Row],[DueDateTime]]="",PlannerTasks[[#This Row],[PercentComplete]]=100),"",DATEVALUE(LEFT(PlannerTasks[[#This Row],[DueDateTime]],10))-TODAY())</f>
        <v/>
      </c>
    </row>
    <row r="56" spans="1:34" ht="15" customHeight="1">
      <c r="A56" s="2" t="s">
        <v>466</v>
      </c>
      <c r="B56" s="2" t="s">
        <v>467</v>
      </c>
      <c r="C56" s="2" t="s">
        <v>468</v>
      </c>
      <c r="D56" s="2" t="s">
        <v>37</v>
      </c>
      <c r="E56" s="2" t="s">
        <v>74</v>
      </c>
      <c r="F56" s="2" t="s">
        <v>75</v>
      </c>
      <c r="G56" s="2">
        <v>50</v>
      </c>
      <c r="H56" s="2">
        <v>5</v>
      </c>
      <c r="I56" s="2" t="s">
        <v>40</v>
      </c>
      <c r="J56" s="2" t="s">
        <v>469</v>
      </c>
      <c r="K56" s="2" t="s">
        <v>470</v>
      </c>
      <c r="L56" s="2" t="s">
        <v>390</v>
      </c>
      <c r="M56" s="2" t="s">
        <v>471</v>
      </c>
      <c r="N56" s="2" t="s">
        <v>419</v>
      </c>
      <c r="O56" s="2"/>
      <c r="P56" s="2"/>
      <c r="Q56" s="2" t="s">
        <v>307</v>
      </c>
      <c r="R56" s="2" t="b">
        <v>0</v>
      </c>
      <c r="S56" s="2"/>
      <c r="T56" s="2">
        <v>0</v>
      </c>
      <c r="U56" s="2" t="s">
        <v>45</v>
      </c>
      <c r="V56" s="2">
        <v>0</v>
      </c>
      <c r="W56" s="2" t="s">
        <v>45</v>
      </c>
      <c r="X56" s="2" t="s">
        <v>472</v>
      </c>
      <c r="Y56" s="2"/>
      <c r="Z56" s="2" t="s">
        <v>70</v>
      </c>
      <c r="AA56" s="2" t="s">
        <v>48</v>
      </c>
      <c r="AB56" s="2" t="s">
        <v>309</v>
      </c>
      <c r="AC56" s="3">
        <v>46294</v>
      </c>
      <c r="AD56" s="4">
        <f>(LEN(PlannerTasks[[#This Row],[ChecklistSummary]])-LEN(SUBSTITUTE(PlannerTasks[[#This Row],[ChecklistSummary]],"""isChecked"":true","")))/LEN("""isChecked"":true")</f>
        <v>0</v>
      </c>
      <c r="AE56" s="4">
        <f>PlannerTasks[[#This Row],[ChecklistItemCount]]-PlannerTasks[[#This Row],[ChecklistDone]]</f>
        <v>0</v>
      </c>
      <c r="AF56" s="4" t="str">
        <f ca="1">IF(OR(PlannerTasks[[#This Row],[DueDateTime]]="",PlannerTasks[[#This Row],[PercentComplete]]=100),"No",IF(DATEVALUE(LEFT(PlannerTasks[[#This Row],[DueDateTime]],10))&lt;TODAY(),"Yes","No"))</f>
        <v>No</v>
      </c>
      <c r="AG56" s="4">
        <f ca="1">IF(PlannerTasks[[#This Row],[IsOverdue]]="Yes",TODAY()-DATEVALUE(LEFT(PlannerTasks[[#This Row],[DueDateTime]],10)),0)</f>
        <v>0</v>
      </c>
      <c r="AH56" s="4">
        <f ca="1">IF(OR(PlannerTasks[[#This Row],[DueDateTime]]="",PlannerTasks[[#This Row],[PercentComplete]]=100),"",DATEVALUE(LEFT(PlannerTasks[[#This Row],[DueDateTime]],10))-TODAY())</f>
        <v>2</v>
      </c>
    </row>
    <row r="57" spans="1:34" ht="15" customHeight="1">
      <c r="A57" s="2" t="s">
        <v>473</v>
      </c>
      <c r="B57" s="2" t="s">
        <v>474</v>
      </c>
      <c r="C57" s="2" t="s">
        <v>475</v>
      </c>
      <c r="D57" s="2" t="s">
        <v>37</v>
      </c>
      <c r="E57" s="2" t="s">
        <v>61</v>
      </c>
      <c r="F57" s="2" t="s">
        <v>62</v>
      </c>
      <c r="G57" s="2">
        <v>0</v>
      </c>
      <c r="H57" s="2">
        <v>5</v>
      </c>
      <c r="I57" s="2" t="s">
        <v>40</v>
      </c>
      <c r="J57" s="2" t="s">
        <v>476</v>
      </c>
      <c r="K57" s="2" t="s">
        <v>477</v>
      </c>
      <c r="L57" s="2" t="s">
        <v>96</v>
      </c>
      <c r="M57" s="2"/>
      <c r="N57" s="2"/>
      <c r="O57" s="2"/>
      <c r="P57" s="2"/>
      <c r="Q57" s="2" t="s">
        <v>478</v>
      </c>
      <c r="R57" s="2" t="b">
        <v>1</v>
      </c>
      <c r="S57" s="2" t="s">
        <v>479</v>
      </c>
      <c r="T57" s="2">
        <v>6</v>
      </c>
      <c r="U57" s="2" t="s">
        <v>480</v>
      </c>
      <c r="V57" s="2">
        <v>0</v>
      </c>
      <c r="W57" s="2" t="s">
        <v>45</v>
      </c>
      <c r="X57" s="2" t="s">
        <v>481</v>
      </c>
      <c r="Y57" s="2"/>
      <c r="Z57" s="2" t="s">
        <v>100</v>
      </c>
      <c r="AA57" s="2" t="s">
        <v>48</v>
      </c>
      <c r="AB57" s="2" t="s">
        <v>482</v>
      </c>
      <c r="AC57" s="3">
        <v>46303</v>
      </c>
      <c r="AD57" s="4">
        <f>(LEN(PlannerTasks[[#This Row],[ChecklistSummary]])-LEN(SUBSTITUTE(PlannerTasks[[#This Row],[ChecklistSummary]],"""isChecked"":true","")))/LEN("""isChecked"":true")</f>
        <v>4</v>
      </c>
      <c r="AE57" s="4">
        <f>PlannerTasks[[#This Row],[ChecklistItemCount]]-PlannerTasks[[#This Row],[ChecklistDone]]</f>
        <v>2</v>
      </c>
      <c r="AF57" s="4" t="str">
        <f ca="1">IF(OR(PlannerTasks[[#This Row],[DueDateTime]]="",PlannerTasks[[#This Row],[PercentComplete]]=100),"No",IF(DATEVALUE(LEFT(PlannerTasks[[#This Row],[DueDateTime]],10))&lt;TODAY(),"Yes","No"))</f>
        <v>No</v>
      </c>
      <c r="AG57" s="4">
        <f ca="1">IF(PlannerTasks[[#This Row],[IsOverdue]]="Yes",TODAY()-DATEVALUE(LEFT(PlannerTasks[[#This Row],[DueDateTime]],10)),0)</f>
        <v>0</v>
      </c>
      <c r="AH57" s="4" t="str">
        <f ca="1">IF(OR(PlannerTasks[[#This Row],[DueDateTime]]="",PlannerTasks[[#This Row],[PercentComplete]]=100),"",DATEVALUE(LEFT(PlannerTasks[[#This Row],[DueDateTime]],10))-TODAY())</f>
        <v/>
      </c>
    </row>
    <row r="58" spans="1:34" ht="15" customHeight="1">
      <c r="A58" s="2" t="s">
        <v>483</v>
      </c>
      <c r="B58" s="2" t="s">
        <v>484</v>
      </c>
      <c r="C58" s="2" t="s">
        <v>485</v>
      </c>
      <c r="D58" s="2" t="s">
        <v>37</v>
      </c>
      <c r="E58" s="2" t="s">
        <v>208</v>
      </c>
      <c r="F58" s="2" t="s">
        <v>209</v>
      </c>
      <c r="G58" s="2">
        <v>50</v>
      </c>
      <c r="H58" s="2">
        <v>5</v>
      </c>
      <c r="I58" s="2" t="s">
        <v>40</v>
      </c>
      <c r="J58" s="2" t="s">
        <v>486</v>
      </c>
      <c r="K58" s="2" t="s">
        <v>487</v>
      </c>
      <c r="L58" s="2" t="s">
        <v>390</v>
      </c>
      <c r="M58" s="2"/>
      <c r="N58" s="2" t="s">
        <v>488</v>
      </c>
      <c r="O58" s="2"/>
      <c r="P58" s="2"/>
      <c r="Q58" s="2" t="s">
        <v>489</v>
      </c>
      <c r="R58" s="2" t="b">
        <v>1</v>
      </c>
      <c r="S58" s="2" t="s">
        <v>490</v>
      </c>
      <c r="T58" s="2">
        <v>0</v>
      </c>
      <c r="U58" s="2" t="s">
        <v>45</v>
      </c>
      <c r="V58" s="2">
        <v>0</v>
      </c>
      <c r="W58" s="2" t="s">
        <v>45</v>
      </c>
      <c r="X58" s="2" t="s">
        <v>491</v>
      </c>
      <c r="Y58" s="2"/>
      <c r="Z58" s="2" t="s">
        <v>70</v>
      </c>
      <c r="AA58" s="2" t="s">
        <v>48</v>
      </c>
      <c r="AB58" s="2" t="s">
        <v>492</v>
      </c>
      <c r="AC58" s="3">
        <v>46294</v>
      </c>
      <c r="AD58" s="4">
        <f>(LEN(PlannerTasks[[#This Row],[ChecklistSummary]])-LEN(SUBSTITUTE(PlannerTasks[[#This Row],[ChecklistSummary]],"""isChecked"":true","")))/LEN("""isChecked"":true")</f>
        <v>0</v>
      </c>
      <c r="AE58" s="4">
        <f>PlannerTasks[[#This Row],[ChecklistItemCount]]-PlannerTasks[[#This Row],[ChecklistDone]]</f>
        <v>0</v>
      </c>
      <c r="AF58" s="4" t="str">
        <f ca="1">IF(OR(PlannerTasks[[#This Row],[DueDateTime]]="",PlannerTasks[[#This Row],[PercentComplete]]=100),"No",IF(DATEVALUE(LEFT(PlannerTasks[[#This Row],[DueDateTime]],10))&lt;TODAY(),"Yes","No"))</f>
        <v>Yes</v>
      </c>
      <c r="AG58" s="4">
        <f ca="1">IF(PlannerTasks[[#This Row],[IsOverdue]]="Yes",TODAY()-DATEVALUE(LEFT(PlannerTasks[[#This Row],[DueDateTime]],10)),0)</f>
        <v>1</v>
      </c>
      <c r="AH58" s="4">
        <f ca="1">IF(OR(PlannerTasks[[#This Row],[DueDateTime]]="",PlannerTasks[[#This Row],[PercentComplete]]=100),"",DATEVALUE(LEFT(PlannerTasks[[#This Row],[DueDateTime]],10))-TODAY())</f>
        <v>-1</v>
      </c>
    </row>
    <row r="59" spans="1:34" ht="15" customHeight="1">
      <c r="A59" s="2" t="s">
        <v>493</v>
      </c>
      <c r="B59" s="2" t="s">
        <v>494</v>
      </c>
      <c r="C59" s="2" t="s">
        <v>495</v>
      </c>
      <c r="D59" s="2" t="s">
        <v>37</v>
      </c>
      <c r="E59" s="2" t="s">
        <v>130</v>
      </c>
      <c r="F59" s="2" t="s">
        <v>131</v>
      </c>
      <c r="G59" s="2">
        <v>0</v>
      </c>
      <c r="H59" s="2">
        <v>5</v>
      </c>
      <c r="I59" s="2" t="s">
        <v>40</v>
      </c>
      <c r="J59" s="2" t="s">
        <v>496</v>
      </c>
      <c r="K59" s="2" t="s">
        <v>497</v>
      </c>
      <c r="L59" s="2" t="s">
        <v>96</v>
      </c>
      <c r="M59" s="2"/>
      <c r="N59" s="2"/>
      <c r="O59" s="2"/>
      <c r="P59" s="2"/>
      <c r="Q59" s="2" t="s">
        <v>478</v>
      </c>
      <c r="R59" s="2" t="b">
        <v>1</v>
      </c>
      <c r="S59" s="2" t="s">
        <v>498</v>
      </c>
      <c r="T59" s="2">
        <v>6</v>
      </c>
      <c r="U59" s="2" t="s">
        <v>499</v>
      </c>
      <c r="V59" s="2">
        <v>0</v>
      </c>
      <c r="W59" s="2" t="s">
        <v>45</v>
      </c>
      <c r="X59" s="2" t="s">
        <v>500</v>
      </c>
      <c r="Y59" s="2"/>
      <c r="Z59" s="2" t="s">
        <v>100</v>
      </c>
      <c r="AA59" s="2" t="s">
        <v>48</v>
      </c>
      <c r="AB59" s="2" t="s">
        <v>482</v>
      </c>
      <c r="AC59" s="3">
        <v>46303</v>
      </c>
      <c r="AD59" s="4">
        <f>(LEN(PlannerTasks[[#This Row],[ChecklistSummary]])-LEN(SUBSTITUTE(PlannerTasks[[#This Row],[ChecklistSummary]],"""isChecked"":true","")))/LEN("""isChecked"":true")</f>
        <v>1</v>
      </c>
      <c r="AE59" s="4">
        <f>PlannerTasks[[#This Row],[ChecklistItemCount]]-PlannerTasks[[#This Row],[ChecklistDone]]</f>
        <v>5</v>
      </c>
      <c r="AF59" s="4" t="str">
        <f ca="1">IF(OR(PlannerTasks[[#This Row],[DueDateTime]]="",PlannerTasks[[#This Row],[PercentComplete]]=100),"No",IF(DATEVALUE(LEFT(PlannerTasks[[#This Row],[DueDateTime]],10))&lt;TODAY(),"Yes","No"))</f>
        <v>No</v>
      </c>
      <c r="AG59" s="4">
        <f ca="1">IF(PlannerTasks[[#This Row],[IsOverdue]]="Yes",TODAY()-DATEVALUE(LEFT(PlannerTasks[[#This Row],[DueDateTime]],10)),0)</f>
        <v>0</v>
      </c>
      <c r="AH59" s="4" t="str">
        <f ca="1">IF(OR(PlannerTasks[[#This Row],[DueDateTime]]="",PlannerTasks[[#This Row],[PercentComplete]]=100),"",DATEVALUE(LEFT(PlannerTasks[[#This Row],[DueDateTime]],10))-TODAY())</f>
        <v/>
      </c>
    </row>
    <row r="60" spans="1:34" ht="15" customHeight="1">
      <c r="A60" s="2" t="s">
        <v>501</v>
      </c>
      <c r="B60" s="2" t="s">
        <v>502</v>
      </c>
      <c r="C60" s="2" t="s">
        <v>503</v>
      </c>
      <c r="D60" s="2" t="s">
        <v>37</v>
      </c>
      <c r="E60" s="2" t="s">
        <v>38</v>
      </c>
      <c r="F60" s="2" t="s">
        <v>39</v>
      </c>
      <c r="G60" s="2">
        <v>0</v>
      </c>
      <c r="H60" s="2">
        <v>5</v>
      </c>
      <c r="I60" s="2" t="s">
        <v>40</v>
      </c>
      <c r="J60" s="2" t="s">
        <v>504</v>
      </c>
      <c r="K60" s="2" t="s">
        <v>505</v>
      </c>
      <c r="L60" s="2" t="s">
        <v>96</v>
      </c>
      <c r="M60" s="2"/>
      <c r="N60" s="2"/>
      <c r="O60" s="2"/>
      <c r="P60" s="2"/>
      <c r="Q60" s="2" t="s">
        <v>478</v>
      </c>
      <c r="R60" s="2" t="b">
        <v>1</v>
      </c>
      <c r="S60" s="2" t="s">
        <v>506</v>
      </c>
      <c r="T60" s="2">
        <v>6</v>
      </c>
      <c r="U60" s="2" t="s">
        <v>507</v>
      </c>
      <c r="V60" s="2">
        <v>0</v>
      </c>
      <c r="W60" s="2" t="s">
        <v>45</v>
      </c>
      <c r="X60" s="2" t="s">
        <v>508</v>
      </c>
      <c r="Y60" s="2"/>
      <c r="Z60" s="2" t="s">
        <v>100</v>
      </c>
      <c r="AA60" s="2" t="s">
        <v>48</v>
      </c>
      <c r="AB60" s="2" t="s">
        <v>482</v>
      </c>
      <c r="AC60" s="3">
        <v>46303</v>
      </c>
      <c r="AD60" s="4">
        <f>(LEN(PlannerTasks[[#This Row],[ChecklistSummary]])-LEN(SUBSTITUTE(PlannerTasks[[#This Row],[ChecklistSummary]],"""isChecked"":true","")))/LEN("""isChecked"":true")</f>
        <v>1</v>
      </c>
      <c r="AE60" s="4">
        <f>PlannerTasks[[#This Row],[ChecklistItemCount]]-PlannerTasks[[#This Row],[ChecklistDone]]</f>
        <v>5</v>
      </c>
      <c r="AF60" s="4" t="str">
        <f ca="1">IF(OR(PlannerTasks[[#This Row],[DueDateTime]]="",PlannerTasks[[#This Row],[PercentComplete]]=100),"No",IF(DATEVALUE(LEFT(PlannerTasks[[#This Row],[DueDateTime]],10))&lt;TODAY(),"Yes","No"))</f>
        <v>No</v>
      </c>
      <c r="AG60" s="4">
        <f ca="1">IF(PlannerTasks[[#This Row],[IsOverdue]]="Yes",TODAY()-DATEVALUE(LEFT(PlannerTasks[[#This Row],[DueDateTime]],10)),0)</f>
        <v>0</v>
      </c>
      <c r="AH60" s="4" t="str">
        <f ca="1">IF(OR(PlannerTasks[[#This Row],[DueDateTime]]="",PlannerTasks[[#This Row],[PercentComplete]]=100),"",DATEVALUE(LEFT(PlannerTasks[[#This Row],[DueDateTime]],10))-TODAY())</f>
        <v/>
      </c>
    </row>
    <row r="61" spans="1:34" ht="15" customHeight="1">
      <c r="A61" s="2" t="s">
        <v>509</v>
      </c>
      <c r="B61" s="2" t="s">
        <v>510</v>
      </c>
      <c r="C61" s="2" t="s">
        <v>511</v>
      </c>
      <c r="D61" s="2" t="s">
        <v>37</v>
      </c>
      <c r="E61" s="2" t="s">
        <v>61</v>
      </c>
      <c r="F61" s="2" t="s">
        <v>62</v>
      </c>
      <c r="G61" s="2">
        <v>0</v>
      </c>
      <c r="H61" s="2">
        <v>5</v>
      </c>
      <c r="I61" s="2" t="s">
        <v>40</v>
      </c>
      <c r="J61" s="2" t="s">
        <v>512</v>
      </c>
      <c r="K61" s="2" t="s">
        <v>513</v>
      </c>
      <c r="L61" s="2" t="s">
        <v>96</v>
      </c>
      <c r="M61" s="2"/>
      <c r="N61" s="2"/>
      <c r="O61" s="2"/>
      <c r="P61" s="2"/>
      <c r="Q61" s="2" t="s">
        <v>339</v>
      </c>
      <c r="R61" s="2" t="b">
        <v>1</v>
      </c>
      <c r="S61" s="2" t="s">
        <v>514</v>
      </c>
      <c r="T61" s="2">
        <v>3</v>
      </c>
      <c r="U61" s="2" t="s">
        <v>515</v>
      </c>
      <c r="V61" s="2">
        <v>0</v>
      </c>
      <c r="W61" s="2" t="s">
        <v>45</v>
      </c>
      <c r="X61" s="2" t="s">
        <v>516</v>
      </c>
      <c r="Y61" s="2"/>
      <c r="Z61" s="2" t="s">
        <v>100</v>
      </c>
      <c r="AA61" s="2" t="s">
        <v>48</v>
      </c>
      <c r="AB61" s="2" t="s">
        <v>343</v>
      </c>
      <c r="AC61" s="3">
        <v>46303</v>
      </c>
      <c r="AD61" s="4">
        <f>(LEN(PlannerTasks[[#This Row],[ChecklistSummary]])-LEN(SUBSTITUTE(PlannerTasks[[#This Row],[ChecklistSummary]],"""isChecked"":true","")))/LEN("""isChecked"":true")</f>
        <v>2</v>
      </c>
      <c r="AE61" s="4">
        <f>PlannerTasks[[#This Row],[ChecklistItemCount]]-PlannerTasks[[#This Row],[ChecklistDone]]</f>
        <v>1</v>
      </c>
      <c r="AF61" s="4" t="str">
        <f ca="1">IF(OR(PlannerTasks[[#This Row],[DueDateTime]]="",PlannerTasks[[#This Row],[PercentComplete]]=100),"No",IF(DATEVALUE(LEFT(PlannerTasks[[#This Row],[DueDateTime]],10))&lt;TODAY(),"Yes","No"))</f>
        <v>No</v>
      </c>
      <c r="AG61" s="4">
        <f ca="1">IF(PlannerTasks[[#This Row],[IsOverdue]]="Yes",TODAY()-DATEVALUE(LEFT(PlannerTasks[[#This Row],[DueDateTime]],10)),0)</f>
        <v>0</v>
      </c>
      <c r="AH61" s="4" t="str">
        <f ca="1">IF(OR(PlannerTasks[[#This Row],[DueDateTime]]="",PlannerTasks[[#This Row],[PercentComplete]]=100),"",DATEVALUE(LEFT(PlannerTasks[[#This Row],[DueDateTime]],10))-TODAY())</f>
        <v/>
      </c>
    </row>
    <row r="62" spans="1:34" ht="15" customHeight="1">
      <c r="A62" s="2" t="s">
        <v>517</v>
      </c>
      <c r="B62" s="2" t="s">
        <v>518</v>
      </c>
      <c r="C62" s="2" t="s">
        <v>519</v>
      </c>
      <c r="D62" s="2" t="s">
        <v>37</v>
      </c>
      <c r="E62" s="2" t="s">
        <v>130</v>
      </c>
      <c r="F62" s="2" t="s">
        <v>131</v>
      </c>
      <c r="G62" s="2">
        <v>0</v>
      </c>
      <c r="H62" s="2">
        <v>5</v>
      </c>
      <c r="I62" s="2" t="s">
        <v>40</v>
      </c>
      <c r="J62" s="2" t="s">
        <v>520</v>
      </c>
      <c r="K62" s="2" t="s">
        <v>521</v>
      </c>
      <c r="L62" s="2" t="s">
        <v>96</v>
      </c>
      <c r="M62" s="2"/>
      <c r="N62" s="2"/>
      <c r="O62" s="2"/>
      <c r="P62" s="2"/>
      <c r="Q62" s="2" t="s">
        <v>522</v>
      </c>
      <c r="R62" s="2" t="b">
        <v>1</v>
      </c>
      <c r="S62" s="2" t="s">
        <v>523</v>
      </c>
      <c r="T62" s="2">
        <v>8</v>
      </c>
      <c r="U62" s="2" t="s">
        <v>524</v>
      </c>
      <c r="V62" s="2">
        <v>0</v>
      </c>
      <c r="W62" s="2" t="s">
        <v>45</v>
      </c>
      <c r="X62" s="2" t="s">
        <v>525</v>
      </c>
      <c r="Y62" s="2"/>
      <c r="Z62" s="2" t="s">
        <v>100</v>
      </c>
      <c r="AA62" s="2" t="s">
        <v>48</v>
      </c>
      <c r="AB62" s="2" t="s">
        <v>526</v>
      </c>
      <c r="AC62" s="3">
        <v>46303</v>
      </c>
      <c r="AD62" s="4">
        <f>(LEN(PlannerTasks[[#This Row],[ChecklistSummary]])-LEN(SUBSTITUTE(PlannerTasks[[#This Row],[ChecklistSummary]],"""isChecked"":true","")))/LEN("""isChecked"":true")</f>
        <v>2</v>
      </c>
      <c r="AE62" s="4">
        <f>PlannerTasks[[#This Row],[ChecklistItemCount]]-PlannerTasks[[#This Row],[ChecklistDone]]</f>
        <v>6</v>
      </c>
      <c r="AF62" s="4" t="str">
        <f ca="1">IF(OR(PlannerTasks[[#This Row],[DueDateTime]]="",PlannerTasks[[#This Row],[PercentComplete]]=100),"No",IF(DATEVALUE(LEFT(PlannerTasks[[#This Row],[DueDateTime]],10))&lt;TODAY(),"Yes","No"))</f>
        <v>No</v>
      </c>
      <c r="AG62" s="4">
        <f ca="1">IF(PlannerTasks[[#This Row],[IsOverdue]]="Yes",TODAY()-DATEVALUE(LEFT(PlannerTasks[[#This Row],[DueDateTime]],10)),0)</f>
        <v>0</v>
      </c>
      <c r="AH62" s="4" t="str">
        <f ca="1">IF(OR(PlannerTasks[[#This Row],[DueDateTime]]="",PlannerTasks[[#This Row],[PercentComplete]]=100),"",DATEVALUE(LEFT(PlannerTasks[[#This Row],[DueDateTime]],10))-TODAY())</f>
        <v/>
      </c>
    </row>
    <row r="63" spans="1:34" ht="15" customHeight="1">
      <c r="A63" s="2" t="s">
        <v>527</v>
      </c>
      <c r="B63" s="2" t="s">
        <v>528</v>
      </c>
      <c r="C63" s="2" t="s">
        <v>529</v>
      </c>
      <c r="D63" s="2" t="s">
        <v>37</v>
      </c>
      <c r="E63" s="2" t="s">
        <v>38</v>
      </c>
      <c r="F63" s="2" t="s">
        <v>39</v>
      </c>
      <c r="G63" s="2">
        <v>0</v>
      </c>
      <c r="H63" s="2">
        <v>5</v>
      </c>
      <c r="I63" s="2" t="s">
        <v>40</v>
      </c>
      <c r="J63" s="2" t="s">
        <v>530</v>
      </c>
      <c r="K63" s="2" t="s">
        <v>531</v>
      </c>
      <c r="L63" s="2" t="s">
        <v>96</v>
      </c>
      <c r="M63" s="2"/>
      <c r="N63" s="2"/>
      <c r="O63" s="2"/>
      <c r="P63" s="2"/>
      <c r="Q63" s="2" t="s">
        <v>156</v>
      </c>
      <c r="R63" s="2" t="b">
        <v>1</v>
      </c>
      <c r="S63" s="2" t="s">
        <v>532</v>
      </c>
      <c r="T63" s="2">
        <v>6</v>
      </c>
      <c r="U63" s="2" t="s">
        <v>533</v>
      </c>
      <c r="V63" s="2">
        <v>0</v>
      </c>
      <c r="W63" s="2" t="s">
        <v>45</v>
      </c>
      <c r="X63" s="2" t="s">
        <v>534</v>
      </c>
      <c r="Y63" s="2"/>
      <c r="Z63" s="2" t="s">
        <v>100</v>
      </c>
      <c r="AA63" s="2" t="s">
        <v>48</v>
      </c>
      <c r="AB63" s="2" t="s">
        <v>158</v>
      </c>
      <c r="AC63" s="3">
        <v>46303</v>
      </c>
      <c r="AD63" s="4">
        <f>(LEN(PlannerTasks[[#This Row],[ChecklistSummary]])-LEN(SUBSTITUTE(PlannerTasks[[#This Row],[ChecklistSummary]],"""isChecked"":true","")))/LEN("""isChecked"":true")</f>
        <v>1</v>
      </c>
      <c r="AE63" s="4">
        <f>PlannerTasks[[#This Row],[ChecklistItemCount]]-PlannerTasks[[#This Row],[ChecklistDone]]</f>
        <v>5</v>
      </c>
      <c r="AF63" s="4" t="str">
        <f ca="1">IF(OR(PlannerTasks[[#This Row],[DueDateTime]]="",PlannerTasks[[#This Row],[PercentComplete]]=100),"No",IF(DATEVALUE(LEFT(PlannerTasks[[#This Row],[DueDateTime]],10))&lt;TODAY(),"Yes","No"))</f>
        <v>No</v>
      </c>
      <c r="AG63" s="4">
        <f ca="1">IF(PlannerTasks[[#This Row],[IsOverdue]]="Yes",TODAY()-DATEVALUE(LEFT(PlannerTasks[[#This Row],[DueDateTime]],10)),0)</f>
        <v>0</v>
      </c>
      <c r="AH63" s="4" t="str">
        <f ca="1">IF(OR(PlannerTasks[[#This Row],[DueDateTime]]="",PlannerTasks[[#This Row],[PercentComplete]]=100),"",DATEVALUE(LEFT(PlannerTasks[[#This Row],[DueDateTime]],10))-TODAY())</f>
        <v/>
      </c>
    </row>
    <row r="64" spans="1:34" ht="15" customHeight="1">
      <c r="A64" s="2" t="s">
        <v>535</v>
      </c>
      <c r="B64" s="2" t="s">
        <v>536</v>
      </c>
      <c r="C64" s="2" t="s">
        <v>537</v>
      </c>
      <c r="D64" s="2" t="s">
        <v>37</v>
      </c>
      <c r="E64" s="2" t="s">
        <v>84</v>
      </c>
      <c r="F64" s="2" t="s">
        <v>85</v>
      </c>
      <c r="G64" s="2">
        <v>0</v>
      </c>
      <c r="H64" s="2">
        <v>5</v>
      </c>
      <c r="I64" s="2" t="s">
        <v>40</v>
      </c>
      <c r="J64" s="2" t="s">
        <v>538</v>
      </c>
      <c r="K64" s="2" t="s">
        <v>539</v>
      </c>
      <c r="L64" s="2" t="s">
        <v>96</v>
      </c>
      <c r="M64" s="2" t="s">
        <v>540</v>
      </c>
      <c r="N64" s="2"/>
      <c r="O64" s="2"/>
      <c r="P64" s="2"/>
      <c r="Q64" s="2" t="s">
        <v>541</v>
      </c>
      <c r="R64" s="2" t="b">
        <v>1</v>
      </c>
      <c r="S64" s="2" t="s">
        <v>542</v>
      </c>
      <c r="T64" s="2">
        <v>8</v>
      </c>
      <c r="U64" s="2" t="s">
        <v>543</v>
      </c>
      <c r="V64" s="2">
        <v>0</v>
      </c>
      <c r="W64" s="2" t="s">
        <v>45</v>
      </c>
      <c r="X64" s="2" t="s">
        <v>544</v>
      </c>
      <c r="Y64" s="2"/>
      <c r="Z64" s="2" t="s">
        <v>100</v>
      </c>
      <c r="AA64" s="2" t="s">
        <v>48</v>
      </c>
      <c r="AB64" s="2" t="s">
        <v>545</v>
      </c>
      <c r="AC64" s="3">
        <v>46303</v>
      </c>
      <c r="AD64" s="4">
        <f>(LEN(PlannerTasks[[#This Row],[ChecklistSummary]])-LEN(SUBSTITUTE(PlannerTasks[[#This Row],[ChecklistSummary]],"""isChecked"":true","")))/LEN("""isChecked"":true")</f>
        <v>2</v>
      </c>
      <c r="AE64" s="4">
        <f>PlannerTasks[[#This Row],[ChecklistItemCount]]-PlannerTasks[[#This Row],[ChecklistDone]]</f>
        <v>6</v>
      </c>
      <c r="AF64" s="4" t="str">
        <f ca="1">IF(OR(PlannerTasks[[#This Row],[DueDateTime]]="",PlannerTasks[[#This Row],[PercentComplete]]=100),"No",IF(DATEVALUE(LEFT(PlannerTasks[[#This Row],[DueDateTime]],10))&lt;TODAY(),"Yes","No"))</f>
        <v>No</v>
      </c>
      <c r="AG64" s="4">
        <f ca="1">IF(PlannerTasks[[#This Row],[IsOverdue]]="Yes",TODAY()-DATEVALUE(LEFT(PlannerTasks[[#This Row],[DueDateTime]],10)),0)</f>
        <v>0</v>
      </c>
      <c r="AH64" s="4" t="str">
        <f ca="1">IF(OR(PlannerTasks[[#This Row],[DueDateTime]]="",PlannerTasks[[#This Row],[PercentComplete]]=100),"",DATEVALUE(LEFT(PlannerTasks[[#This Row],[DueDateTime]],10))-TODAY())</f>
        <v/>
      </c>
    </row>
    <row r="65" spans="1:34" ht="15" customHeight="1">
      <c r="A65" s="2" t="s">
        <v>546</v>
      </c>
      <c r="B65" s="2" t="s">
        <v>547</v>
      </c>
      <c r="C65" s="2" t="s">
        <v>548</v>
      </c>
      <c r="D65" s="2" t="s">
        <v>37</v>
      </c>
      <c r="E65" s="2" t="s">
        <v>130</v>
      </c>
      <c r="F65" s="2" t="s">
        <v>131</v>
      </c>
      <c r="G65" s="2">
        <v>0</v>
      </c>
      <c r="H65" s="2">
        <v>5</v>
      </c>
      <c r="I65" s="2" t="s">
        <v>40</v>
      </c>
      <c r="J65" s="2" t="s">
        <v>549</v>
      </c>
      <c r="K65" s="2" t="s">
        <v>550</v>
      </c>
      <c r="L65" s="2" t="s">
        <v>96</v>
      </c>
      <c r="M65" s="2"/>
      <c r="N65" s="2"/>
      <c r="O65" s="2"/>
      <c r="P65" s="2"/>
      <c r="Q65" s="2" t="s">
        <v>551</v>
      </c>
      <c r="R65" s="2" t="b">
        <v>1</v>
      </c>
      <c r="S65" s="2" t="s">
        <v>552</v>
      </c>
      <c r="T65" s="2">
        <v>6</v>
      </c>
      <c r="U65" s="2" t="s">
        <v>553</v>
      </c>
      <c r="V65" s="2">
        <v>0</v>
      </c>
      <c r="W65" s="2" t="s">
        <v>45</v>
      </c>
      <c r="X65" s="2" t="s">
        <v>554</v>
      </c>
      <c r="Y65" s="2"/>
      <c r="Z65" s="2" t="s">
        <v>100</v>
      </c>
      <c r="AA65" s="2" t="s">
        <v>48</v>
      </c>
      <c r="AB65" s="2" t="s">
        <v>555</v>
      </c>
      <c r="AC65" s="3">
        <v>46303</v>
      </c>
      <c r="AD65" s="4">
        <f>(LEN(PlannerTasks[[#This Row],[ChecklistSummary]])-LEN(SUBSTITUTE(PlannerTasks[[#This Row],[ChecklistSummary]],"""isChecked"":true","")))/LEN("""isChecked"":true")</f>
        <v>1</v>
      </c>
      <c r="AE65" s="4">
        <f>PlannerTasks[[#This Row],[ChecklistItemCount]]-PlannerTasks[[#This Row],[ChecklistDone]]</f>
        <v>5</v>
      </c>
      <c r="AF65" s="4" t="str">
        <f ca="1">IF(OR(PlannerTasks[[#This Row],[DueDateTime]]="",PlannerTasks[[#This Row],[PercentComplete]]=100),"No",IF(DATEVALUE(LEFT(PlannerTasks[[#This Row],[DueDateTime]],10))&lt;TODAY(),"Yes","No"))</f>
        <v>No</v>
      </c>
      <c r="AG65" s="4">
        <f ca="1">IF(PlannerTasks[[#This Row],[IsOverdue]]="Yes",TODAY()-DATEVALUE(LEFT(PlannerTasks[[#This Row],[DueDateTime]],10)),0)</f>
        <v>0</v>
      </c>
      <c r="AH65" s="4" t="str">
        <f ca="1">IF(OR(PlannerTasks[[#This Row],[DueDateTime]]="",PlannerTasks[[#This Row],[PercentComplete]]=100),"",DATEVALUE(LEFT(PlannerTasks[[#This Row],[DueDateTime]],10))-TODAY())</f>
        <v/>
      </c>
    </row>
    <row r="66" spans="1:34" ht="15" customHeight="1">
      <c r="A66" s="2" t="s">
        <v>556</v>
      </c>
      <c r="B66" s="2" t="s">
        <v>557</v>
      </c>
      <c r="C66" s="2" t="s">
        <v>558</v>
      </c>
      <c r="D66" s="2" t="s">
        <v>37</v>
      </c>
      <c r="E66" s="2" t="s">
        <v>130</v>
      </c>
      <c r="F66" s="2" t="s">
        <v>131</v>
      </c>
      <c r="G66" s="2">
        <v>0</v>
      </c>
      <c r="H66" s="2">
        <v>5</v>
      </c>
      <c r="I66" s="2" t="s">
        <v>40</v>
      </c>
      <c r="J66" s="2" t="s">
        <v>559</v>
      </c>
      <c r="K66" s="2" t="s">
        <v>560</v>
      </c>
      <c r="L66" s="2" t="s">
        <v>96</v>
      </c>
      <c r="M66" s="2"/>
      <c r="N66" s="2"/>
      <c r="O66" s="2"/>
      <c r="P66" s="2"/>
      <c r="Q66" s="2" t="s">
        <v>522</v>
      </c>
      <c r="R66" s="2" t="b">
        <v>1</v>
      </c>
      <c r="S66" s="2" t="s">
        <v>561</v>
      </c>
      <c r="T66" s="2">
        <v>6</v>
      </c>
      <c r="U66" s="2" t="s">
        <v>562</v>
      </c>
      <c r="V66" s="2">
        <v>0</v>
      </c>
      <c r="W66" s="2" t="s">
        <v>45</v>
      </c>
      <c r="X66" s="2" t="s">
        <v>563</v>
      </c>
      <c r="Y66" s="2"/>
      <c r="Z66" s="2" t="s">
        <v>100</v>
      </c>
      <c r="AA66" s="2" t="s">
        <v>48</v>
      </c>
      <c r="AB66" s="2" t="s">
        <v>526</v>
      </c>
      <c r="AC66" s="3">
        <v>46303</v>
      </c>
      <c r="AD66" s="4">
        <f>(LEN(PlannerTasks[[#This Row],[ChecklistSummary]])-LEN(SUBSTITUTE(PlannerTasks[[#This Row],[ChecklistSummary]],"""isChecked"":true","")))/LEN("""isChecked"":true")</f>
        <v>1</v>
      </c>
      <c r="AE66" s="4">
        <f>PlannerTasks[[#This Row],[ChecklistItemCount]]-PlannerTasks[[#This Row],[ChecklistDone]]</f>
        <v>5</v>
      </c>
      <c r="AF66" s="4" t="str">
        <f ca="1">IF(OR(PlannerTasks[[#This Row],[DueDateTime]]="",PlannerTasks[[#This Row],[PercentComplete]]=100),"No",IF(DATEVALUE(LEFT(PlannerTasks[[#This Row],[DueDateTime]],10))&lt;TODAY(),"Yes","No"))</f>
        <v>No</v>
      </c>
      <c r="AG66" s="4">
        <f ca="1">IF(PlannerTasks[[#This Row],[IsOverdue]]="Yes",TODAY()-DATEVALUE(LEFT(PlannerTasks[[#This Row],[DueDateTime]],10)),0)</f>
        <v>0</v>
      </c>
      <c r="AH66" s="4" t="str">
        <f ca="1">IF(OR(PlannerTasks[[#This Row],[DueDateTime]]="",PlannerTasks[[#This Row],[PercentComplete]]=100),"",DATEVALUE(LEFT(PlannerTasks[[#This Row],[DueDateTime]],10))-TODAY())</f>
        <v/>
      </c>
    </row>
    <row r="67" spans="1:34" ht="15" customHeight="1">
      <c r="A67" s="2" t="s">
        <v>564</v>
      </c>
      <c r="B67" s="2" t="s">
        <v>565</v>
      </c>
      <c r="C67" s="2" t="s">
        <v>566</v>
      </c>
      <c r="D67" s="2" t="s">
        <v>37</v>
      </c>
      <c r="E67" s="2" t="s">
        <v>208</v>
      </c>
      <c r="F67" s="2" t="s">
        <v>209</v>
      </c>
      <c r="G67" s="2">
        <v>0</v>
      </c>
      <c r="H67" s="2">
        <v>5</v>
      </c>
      <c r="I67" s="2" t="s">
        <v>40</v>
      </c>
      <c r="J67" s="2" t="s">
        <v>567</v>
      </c>
      <c r="K67" s="2" t="s">
        <v>568</v>
      </c>
      <c r="L67" s="2" t="s">
        <v>96</v>
      </c>
      <c r="M67" s="2"/>
      <c r="N67" s="2"/>
      <c r="O67" s="2"/>
      <c r="P67" s="2"/>
      <c r="Q67" s="2" t="s">
        <v>541</v>
      </c>
      <c r="R67" s="2" t="b">
        <v>1</v>
      </c>
      <c r="S67" s="2" t="s">
        <v>569</v>
      </c>
      <c r="T67" s="2">
        <v>9</v>
      </c>
      <c r="U67" s="2" t="s">
        <v>570</v>
      </c>
      <c r="V67" s="2">
        <v>0</v>
      </c>
      <c r="W67" s="2" t="s">
        <v>45</v>
      </c>
      <c r="X67" s="2" t="s">
        <v>571</v>
      </c>
      <c r="Y67" s="2"/>
      <c r="Z67" s="2" t="s">
        <v>100</v>
      </c>
      <c r="AA67" s="2" t="s">
        <v>48</v>
      </c>
      <c r="AB67" s="2" t="s">
        <v>545</v>
      </c>
      <c r="AC67" s="3">
        <v>46303</v>
      </c>
      <c r="AD67" s="4">
        <f>(LEN(PlannerTasks[[#This Row],[ChecklistSummary]])-LEN(SUBSTITUTE(PlannerTasks[[#This Row],[ChecklistSummary]],"""isChecked"":true","")))/LEN("""isChecked"":true")</f>
        <v>1</v>
      </c>
      <c r="AE67" s="4">
        <f>PlannerTasks[[#This Row],[ChecklistItemCount]]-PlannerTasks[[#This Row],[ChecklistDone]]</f>
        <v>8</v>
      </c>
      <c r="AF67" s="4" t="str">
        <f ca="1">IF(OR(PlannerTasks[[#This Row],[DueDateTime]]="",PlannerTasks[[#This Row],[PercentComplete]]=100),"No",IF(DATEVALUE(LEFT(PlannerTasks[[#This Row],[DueDateTime]],10))&lt;TODAY(),"Yes","No"))</f>
        <v>No</v>
      </c>
      <c r="AG67" s="4">
        <f ca="1">IF(PlannerTasks[[#This Row],[IsOverdue]]="Yes",TODAY()-DATEVALUE(LEFT(PlannerTasks[[#This Row],[DueDateTime]],10)),0)</f>
        <v>0</v>
      </c>
      <c r="AH67" s="4" t="str">
        <f ca="1">IF(OR(PlannerTasks[[#This Row],[DueDateTime]]="",PlannerTasks[[#This Row],[PercentComplete]]=100),"",DATEVALUE(LEFT(PlannerTasks[[#This Row],[DueDateTime]],10))-TODAY())</f>
        <v/>
      </c>
    </row>
    <row r="68" spans="1:34" ht="15" customHeight="1">
      <c r="A68" s="2" t="s">
        <v>572</v>
      </c>
      <c r="B68" s="2" t="s">
        <v>573</v>
      </c>
      <c r="C68" s="2" t="s">
        <v>574</v>
      </c>
      <c r="D68" s="2" t="s">
        <v>37</v>
      </c>
      <c r="E68" s="2" t="s">
        <v>38</v>
      </c>
      <c r="F68" s="2" t="s">
        <v>39</v>
      </c>
      <c r="G68" s="2">
        <v>0</v>
      </c>
      <c r="H68" s="2">
        <v>5</v>
      </c>
      <c r="I68" s="2" t="s">
        <v>40</v>
      </c>
      <c r="J68" s="2" t="s">
        <v>575</v>
      </c>
      <c r="K68" s="2" t="s">
        <v>576</v>
      </c>
      <c r="L68" s="2" t="s">
        <v>96</v>
      </c>
      <c r="M68" s="2"/>
      <c r="N68" s="2"/>
      <c r="O68" s="2"/>
      <c r="P68" s="2"/>
      <c r="Q68" s="2" t="s">
        <v>541</v>
      </c>
      <c r="R68" s="2" t="b">
        <v>1</v>
      </c>
      <c r="S68" s="2" t="s">
        <v>577</v>
      </c>
      <c r="T68" s="2">
        <v>7</v>
      </c>
      <c r="U68" s="2" t="s">
        <v>578</v>
      </c>
      <c r="V68" s="2">
        <v>0</v>
      </c>
      <c r="W68" s="2" t="s">
        <v>45</v>
      </c>
      <c r="X68" s="2" t="s">
        <v>579</v>
      </c>
      <c r="Y68" s="2"/>
      <c r="Z68" s="2" t="s">
        <v>100</v>
      </c>
      <c r="AA68" s="2" t="s">
        <v>48</v>
      </c>
      <c r="AB68" s="2" t="s">
        <v>545</v>
      </c>
      <c r="AC68" s="3">
        <v>46303</v>
      </c>
      <c r="AD68" s="4">
        <f>(LEN(PlannerTasks[[#This Row],[ChecklistSummary]])-LEN(SUBSTITUTE(PlannerTasks[[#This Row],[ChecklistSummary]],"""isChecked"":true","")))/LEN("""isChecked"":true")</f>
        <v>1</v>
      </c>
      <c r="AE68" s="4">
        <f>PlannerTasks[[#This Row],[ChecklistItemCount]]-PlannerTasks[[#This Row],[ChecklistDone]]</f>
        <v>6</v>
      </c>
      <c r="AF68" s="4" t="str">
        <f ca="1">IF(OR(PlannerTasks[[#This Row],[DueDateTime]]="",PlannerTasks[[#This Row],[PercentComplete]]=100),"No",IF(DATEVALUE(LEFT(PlannerTasks[[#This Row],[DueDateTime]],10))&lt;TODAY(),"Yes","No"))</f>
        <v>No</v>
      </c>
      <c r="AG68" s="4">
        <f ca="1">IF(PlannerTasks[[#This Row],[IsOverdue]]="Yes",TODAY()-DATEVALUE(LEFT(PlannerTasks[[#This Row],[DueDateTime]],10)),0)</f>
        <v>0</v>
      </c>
      <c r="AH68" s="4" t="str">
        <f ca="1">IF(OR(PlannerTasks[[#This Row],[DueDateTime]]="",PlannerTasks[[#This Row],[PercentComplete]]=100),"",DATEVALUE(LEFT(PlannerTasks[[#This Row],[DueDateTime]],10))-TODAY())</f>
        <v/>
      </c>
    </row>
    <row r="69" spans="1:34" ht="15" customHeight="1">
      <c r="A69" s="2" t="s">
        <v>580</v>
      </c>
      <c r="B69" s="2" t="s">
        <v>581</v>
      </c>
      <c r="C69" s="2" t="s">
        <v>582</v>
      </c>
      <c r="D69" s="2" t="s">
        <v>37</v>
      </c>
      <c r="E69" s="2" t="s">
        <v>61</v>
      </c>
      <c r="F69" s="2" t="s">
        <v>62</v>
      </c>
      <c r="G69" s="2">
        <v>0</v>
      </c>
      <c r="H69" s="2">
        <v>5</v>
      </c>
      <c r="I69" s="2" t="s">
        <v>40</v>
      </c>
      <c r="J69" s="2" t="s">
        <v>583</v>
      </c>
      <c r="K69" s="2" t="s">
        <v>584</v>
      </c>
      <c r="L69" s="2" t="s">
        <v>96</v>
      </c>
      <c r="M69" s="2"/>
      <c r="N69" s="2"/>
      <c r="O69" s="2"/>
      <c r="P69" s="2"/>
      <c r="Q69" s="2" t="s">
        <v>541</v>
      </c>
      <c r="R69" s="2" t="b">
        <v>1</v>
      </c>
      <c r="S69" s="2" t="s">
        <v>585</v>
      </c>
      <c r="T69" s="2">
        <v>6</v>
      </c>
      <c r="U69" s="2" t="s">
        <v>586</v>
      </c>
      <c r="V69" s="2">
        <v>0</v>
      </c>
      <c r="W69" s="2" t="s">
        <v>45</v>
      </c>
      <c r="X69" s="2" t="s">
        <v>587</v>
      </c>
      <c r="Y69" s="2"/>
      <c r="Z69" s="2" t="s">
        <v>100</v>
      </c>
      <c r="AA69" s="2" t="s">
        <v>48</v>
      </c>
      <c r="AB69" s="2" t="s">
        <v>545</v>
      </c>
      <c r="AC69" s="3">
        <v>46303</v>
      </c>
      <c r="AD69" s="4">
        <f>(LEN(PlannerTasks[[#This Row],[ChecklistSummary]])-LEN(SUBSTITUTE(PlannerTasks[[#This Row],[ChecklistSummary]],"""isChecked"":true","")))/LEN("""isChecked"":true")</f>
        <v>1</v>
      </c>
      <c r="AE69" s="4">
        <f>PlannerTasks[[#This Row],[ChecklistItemCount]]-PlannerTasks[[#This Row],[ChecklistDone]]</f>
        <v>5</v>
      </c>
      <c r="AF69" s="4" t="str">
        <f ca="1">IF(OR(PlannerTasks[[#This Row],[DueDateTime]]="",PlannerTasks[[#This Row],[PercentComplete]]=100),"No",IF(DATEVALUE(LEFT(PlannerTasks[[#This Row],[DueDateTime]],10))&lt;TODAY(),"Yes","No"))</f>
        <v>No</v>
      </c>
      <c r="AG69" s="4">
        <f ca="1">IF(PlannerTasks[[#This Row],[IsOverdue]]="Yes",TODAY()-DATEVALUE(LEFT(PlannerTasks[[#This Row],[DueDateTime]],10)),0)</f>
        <v>0</v>
      </c>
      <c r="AH69" s="4" t="str">
        <f ca="1">IF(OR(PlannerTasks[[#This Row],[DueDateTime]]="",PlannerTasks[[#This Row],[PercentComplete]]=100),"",DATEVALUE(LEFT(PlannerTasks[[#This Row],[DueDateTime]],10))-TODAY())</f>
        <v/>
      </c>
    </row>
    <row r="70" spans="1:34" ht="15" customHeight="1">
      <c r="A70" s="2" t="s">
        <v>588</v>
      </c>
      <c r="B70" s="2" t="s">
        <v>589</v>
      </c>
      <c r="C70" s="2" t="s">
        <v>590</v>
      </c>
      <c r="D70" s="2" t="s">
        <v>37</v>
      </c>
      <c r="E70" s="2" t="s">
        <v>74</v>
      </c>
      <c r="F70" s="2" t="s">
        <v>75</v>
      </c>
      <c r="G70" s="2">
        <v>0</v>
      </c>
      <c r="H70" s="2">
        <v>5</v>
      </c>
      <c r="I70" s="2" t="s">
        <v>40</v>
      </c>
      <c r="J70" s="2" t="s">
        <v>591</v>
      </c>
      <c r="K70" s="2" t="s">
        <v>592</v>
      </c>
      <c r="L70" s="2" t="s">
        <v>96</v>
      </c>
      <c r="M70" s="2"/>
      <c r="N70" s="2"/>
      <c r="O70" s="2"/>
      <c r="P70" s="2"/>
      <c r="Q70" s="2" t="s">
        <v>541</v>
      </c>
      <c r="R70" s="2" t="b">
        <v>1</v>
      </c>
      <c r="S70" s="2" t="s">
        <v>593</v>
      </c>
      <c r="T70" s="2">
        <v>7</v>
      </c>
      <c r="U70" s="2" t="s">
        <v>594</v>
      </c>
      <c r="V70" s="2">
        <v>0</v>
      </c>
      <c r="W70" s="2" t="s">
        <v>45</v>
      </c>
      <c r="X70" s="2" t="s">
        <v>595</v>
      </c>
      <c r="Y70" s="2"/>
      <c r="Z70" s="2" t="s">
        <v>100</v>
      </c>
      <c r="AA70" s="2" t="s">
        <v>48</v>
      </c>
      <c r="AB70" s="2" t="s">
        <v>545</v>
      </c>
      <c r="AC70" s="3">
        <v>46303</v>
      </c>
      <c r="AD70" s="4">
        <f>(LEN(PlannerTasks[[#This Row],[ChecklistSummary]])-LEN(SUBSTITUTE(PlannerTasks[[#This Row],[ChecklistSummary]],"""isChecked"":true","")))/LEN("""isChecked"":true")</f>
        <v>4</v>
      </c>
      <c r="AE70" s="4">
        <f>PlannerTasks[[#This Row],[ChecklistItemCount]]-PlannerTasks[[#This Row],[ChecklistDone]]</f>
        <v>3</v>
      </c>
      <c r="AF70" s="4" t="str">
        <f ca="1">IF(OR(PlannerTasks[[#This Row],[DueDateTime]]="",PlannerTasks[[#This Row],[PercentComplete]]=100),"No",IF(DATEVALUE(LEFT(PlannerTasks[[#This Row],[DueDateTime]],10))&lt;TODAY(),"Yes","No"))</f>
        <v>No</v>
      </c>
      <c r="AG70" s="4">
        <f ca="1">IF(PlannerTasks[[#This Row],[IsOverdue]]="Yes",TODAY()-DATEVALUE(LEFT(PlannerTasks[[#This Row],[DueDateTime]],10)),0)</f>
        <v>0</v>
      </c>
      <c r="AH70" s="4" t="str">
        <f ca="1">IF(OR(PlannerTasks[[#This Row],[DueDateTime]]="",PlannerTasks[[#This Row],[PercentComplete]]=100),"",DATEVALUE(LEFT(PlannerTasks[[#This Row],[DueDateTime]],10))-TODAY())</f>
        <v/>
      </c>
    </row>
    <row r="71" spans="1:34" ht="15" customHeight="1">
      <c r="A71" s="2" t="s">
        <v>596</v>
      </c>
      <c r="B71" s="2" t="s">
        <v>597</v>
      </c>
      <c r="C71" s="2" t="s">
        <v>598</v>
      </c>
      <c r="D71" s="2" t="s">
        <v>37</v>
      </c>
      <c r="E71" s="2" t="s">
        <v>61</v>
      </c>
      <c r="F71" s="2" t="s">
        <v>62</v>
      </c>
      <c r="G71" s="2">
        <v>0</v>
      </c>
      <c r="H71" s="2">
        <v>5</v>
      </c>
      <c r="I71" s="2" t="s">
        <v>40</v>
      </c>
      <c r="J71" s="2" t="s">
        <v>599</v>
      </c>
      <c r="K71" s="2" t="s">
        <v>600</v>
      </c>
      <c r="L71" s="2" t="s">
        <v>96</v>
      </c>
      <c r="M71" s="2"/>
      <c r="N71" s="2"/>
      <c r="O71" s="2"/>
      <c r="P71" s="2"/>
      <c r="Q71" s="2" t="s">
        <v>601</v>
      </c>
      <c r="R71" s="2" t="b">
        <v>1</v>
      </c>
      <c r="S71" s="2" t="s">
        <v>602</v>
      </c>
      <c r="T71" s="2">
        <v>3</v>
      </c>
      <c r="U71" s="2" t="s">
        <v>603</v>
      </c>
      <c r="V71" s="2">
        <v>0</v>
      </c>
      <c r="W71" s="2" t="s">
        <v>45</v>
      </c>
      <c r="X71" s="2" t="s">
        <v>604</v>
      </c>
      <c r="Y71" s="2"/>
      <c r="Z71" s="2" t="s">
        <v>100</v>
      </c>
      <c r="AA71" s="2" t="s">
        <v>48</v>
      </c>
      <c r="AB71" s="2" t="s">
        <v>605</v>
      </c>
      <c r="AC71" s="3">
        <v>46303</v>
      </c>
      <c r="AD71" s="4">
        <f>(LEN(PlannerTasks[[#This Row],[ChecklistSummary]])-LEN(SUBSTITUTE(PlannerTasks[[#This Row],[ChecklistSummary]],"""isChecked"":true","")))/LEN("""isChecked"":true")</f>
        <v>2</v>
      </c>
      <c r="AE71" s="4">
        <f>PlannerTasks[[#This Row],[ChecklistItemCount]]-PlannerTasks[[#This Row],[ChecklistDone]]</f>
        <v>1</v>
      </c>
      <c r="AF71" s="4" t="str">
        <f ca="1">IF(OR(PlannerTasks[[#This Row],[DueDateTime]]="",PlannerTasks[[#This Row],[PercentComplete]]=100),"No",IF(DATEVALUE(LEFT(PlannerTasks[[#This Row],[DueDateTime]],10))&lt;TODAY(),"Yes","No"))</f>
        <v>No</v>
      </c>
      <c r="AG71" s="4">
        <f ca="1">IF(PlannerTasks[[#This Row],[IsOverdue]]="Yes",TODAY()-DATEVALUE(LEFT(PlannerTasks[[#This Row],[DueDateTime]],10)),0)</f>
        <v>0</v>
      </c>
      <c r="AH71" s="4" t="str">
        <f ca="1">IF(OR(PlannerTasks[[#This Row],[DueDateTime]]="",PlannerTasks[[#This Row],[PercentComplete]]=100),"",DATEVALUE(LEFT(PlannerTasks[[#This Row],[DueDateTime]],10))-TODAY())</f>
        <v/>
      </c>
    </row>
    <row r="72" spans="1:34" ht="15" customHeight="1">
      <c r="A72" s="2" t="s">
        <v>606</v>
      </c>
      <c r="B72" s="2" t="s">
        <v>607</v>
      </c>
      <c r="C72" s="2" t="s">
        <v>608</v>
      </c>
      <c r="D72" s="2" t="s">
        <v>37</v>
      </c>
      <c r="E72" s="2" t="s">
        <v>74</v>
      </c>
      <c r="F72" s="2" t="s">
        <v>75</v>
      </c>
      <c r="G72" s="2">
        <v>0</v>
      </c>
      <c r="H72" s="2">
        <v>1</v>
      </c>
      <c r="I72" s="2" t="s">
        <v>609</v>
      </c>
      <c r="J72" s="2" t="s">
        <v>610</v>
      </c>
      <c r="K72" s="2" t="s">
        <v>611</v>
      </c>
      <c r="L72" s="2" t="s">
        <v>96</v>
      </c>
      <c r="M72" s="2" t="s">
        <v>612</v>
      </c>
      <c r="N72" s="2" t="s">
        <v>449</v>
      </c>
      <c r="O72" s="2"/>
      <c r="P72" s="2"/>
      <c r="Q72" s="2" t="s">
        <v>156</v>
      </c>
      <c r="R72" s="2" t="b">
        <v>1</v>
      </c>
      <c r="S72" s="2" t="s">
        <v>613</v>
      </c>
      <c r="T72" s="2">
        <v>8</v>
      </c>
      <c r="U72" s="2" t="s">
        <v>614</v>
      </c>
      <c r="V72" s="2">
        <v>0</v>
      </c>
      <c r="W72" s="2" t="s">
        <v>45</v>
      </c>
      <c r="X72" s="2" t="s">
        <v>615</v>
      </c>
      <c r="Y72" s="2"/>
      <c r="Z72" s="2" t="s">
        <v>100</v>
      </c>
      <c r="AA72" s="2" t="s">
        <v>48</v>
      </c>
      <c r="AB72" s="2" t="s">
        <v>158</v>
      </c>
      <c r="AC72" s="3">
        <v>46303</v>
      </c>
      <c r="AD72" s="4">
        <f>(LEN(PlannerTasks[[#This Row],[ChecklistSummary]])-LEN(SUBSTITUTE(PlannerTasks[[#This Row],[ChecklistSummary]],"""isChecked"":true","")))/LEN("""isChecked"":true")</f>
        <v>4</v>
      </c>
      <c r="AE72" s="4">
        <f>PlannerTasks[[#This Row],[ChecklistItemCount]]-PlannerTasks[[#This Row],[ChecklistDone]]</f>
        <v>4</v>
      </c>
      <c r="AF72" s="4" t="str">
        <f ca="1">IF(OR(PlannerTasks[[#This Row],[DueDateTime]]="",PlannerTasks[[#This Row],[PercentComplete]]=100),"No",IF(DATEVALUE(LEFT(PlannerTasks[[#This Row],[DueDateTime]],10))&lt;TODAY(),"Yes","No"))</f>
        <v>Yes</v>
      </c>
      <c r="AG72" s="4">
        <f ca="1">IF(PlannerTasks[[#This Row],[IsOverdue]]="Yes",TODAY()-DATEVALUE(LEFT(PlannerTasks[[#This Row],[DueDateTime]],10)),0)</f>
        <v>5</v>
      </c>
      <c r="AH72" s="4">
        <f ca="1">IF(OR(PlannerTasks[[#This Row],[DueDateTime]]="",PlannerTasks[[#This Row],[PercentComplete]]=100),"",DATEVALUE(LEFT(PlannerTasks[[#This Row],[DueDateTime]],10))-TODAY())</f>
        <v>-5</v>
      </c>
    </row>
    <row r="73" spans="1:34" ht="15" customHeight="1">
      <c r="A73" s="2" t="s">
        <v>616</v>
      </c>
      <c r="B73" s="2" t="s">
        <v>617</v>
      </c>
      <c r="C73" s="2" t="s">
        <v>618</v>
      </c>
      <c r="D73" s="2" t="s">
        <v>37</v>
      </c>
      <c r="E73" s="2" t="s">
        <v>619</v>
      </c>
      <c r="F73" s="2" t="s">
        <v>620</v>
      </c>
      <c r="G73" s="2">
        <v>100</v>
      </c>
      <c r="H73" s="2">
        <v>5</v>
      </c>
      <c r="I73" s="2" t="s">
        <v>40</v>
      </c>
      <c r="J73" s="2" t="s">
        <v>621</v>
      </c>
      <c r="K73" s="2" t="s">
        <v>622</v>
      </c>
      <c r="L73" s="2" t="s">
        <v>623</v>
      </c>
      <c r="M73" s="2"/>
      <c r="N73" s="2" t="s">
        <v>218</v>
      </c>
      <c r="O73" s="2" t="s">
        <v>624</v>
      </c>
      <c r="P73" s="2" t="s">
        <v>390</v>
      </c>
      <c r="Q73" s="2" t="s">
        <v>427</v>
      </c>
      <c r="R73" s="2" t="b">
        <v>1</v>
      </c>
      <c r="S73" s="2" t="s">
        <v>625</v>
      </c>
      <c r="T73" s="2">
        <v>0</v>
      </c>
      <c r="U73" s="2" t="s">
        <v>45</v>
      </c>
      <c r="V73" s="2">
        <v>0</v>
      </c>
      <c r="W73" s="2" t="s">
        <v>45</v>
      </c>
      <c r="X73" s="2">
        <v>8584101831</v>
      </c>
      <c r="Y73" s="2"/>
      <c r="Z73" s="2" t="s">
        <v>70</v>
      </c>
      <c r="AA73" s="2" t="s">
        <v>48</v>
      </c>
      <c r="AB73" s="2" t="s">
        <v>429</v>
      </c>
      <c r="AC73" s="3">
        <v>46309</v>
      </c>
      <c r="AD73" s="4">
        <f>(LEN(PlannerTasks[[#This Row],[ChecklistSummary]])-LEN(SUBSTITUTE(PlannerTasks[[#This Row],[ChecklistSummary]],"""isChecked"":true","")))/LEN("""isChecked"":true")</f>
        <v>0</v>
      </c>
      <c r="AE73" s="4">
        <f>PlannerTasks[[#This Row],[ChecklistItemCount]]-PlannerTasks[[#This Row],[ChecklistDone]]</f>
        <v>0</v>
      </c>
      <c r="AF73" s="4" t="str">
        <f ca="1">IF(OR(PlannerTasks[[#This Row],[DueDateTime]]="",PlannerTasks[[#This Row],[PercentComplete]]=100),"No",IF(DATEVALUE(LEFT(PlannerTasks[[#This Row],[DueDateTime]],10))&lt;TODAY(),"Yes","No"))</f>
        <v>No</v>
      </c>
      <c r="AG73" s="4">
        <f ca="1">IF(PlannerTasks[[#This Row],[IsOverdue]]="Yes",TODAY()-DATEVALUE(LEFT(PlannerTasks[[#This Row],[DueDateTime]],10)),0)</f>
        <v>0</v>
      </c>
      <c r="AH73" s="4" t="str">
        <f ca="1">IF(OR(PlannerTasks[[#This Row],[DueDateTime]]="",PlannerTasks[[#This Row],[PercentComplete]]=100),"",DATEVALUE(LEFT(PlannerTasks[[#This Row],[DueDateTime]],10))-TODAY())</f>
        <v/>
      </c>
    </row>
    <row r="74" spans="1:34" ht="15" customHeight="1">
      <c r="A74" s="2" t="s">
        <v>626</v>
      </c>
      <c r="B74" s="2" t="s">
        <v>627</v>
      </c>
      <c r="C74" s="2" t="s">
        <v>628</v>
      </c>
      <c r="D74" s="2" t="s">
        <v>37</v>
      </c>
      <c r="E74" s="2" t="s">
        <v>619</v>
      </c>
      <c r="F74" s="2" t="s">
        <v>620</v>
      </c>
      <c r="G74" s="2">
        <v>100</v>
      </c>
      <c r="H74" s="2">
        <v>5</v>
      </c>
      <c r="I74" s="2" t="s">
        <v>40</v>
      </c>
      <c r="J74" s="2" t="s">
        <v>629</v>
      </c>
      <c r="K74" s="2" t="s">
        <v>630</v>
      </c>
      <c r="L74" s="2" t="s">
        <v>43</v>
      </c>
      <c r="M74" s="2"/>
      <c r="N74" s="2"/>
      <c r="O74" s="2" t="s">
        <v>631</v>
      </c>
      <c r="P74" s="2" t="s">
        <v>43</v>
      </c>
      <c r="Q74" s="2" t="s">
        <v>293</v>
      </c>
      <c r="R74" s="2" t="b">
        <v>0</v>
      </c>
      <c r="S74" s="2"/>
      <c r="T74" s="2">
        <v>0</v>
      </c>
      <c r="U74" s="2" t="s">
        <v>45</v>
      </c>
      <c r="V74" s="2">
        <v>0</v>
      </c>
      <c r="W74" s="2" t="s">
        <v>45</v>
      </c>
      <c r="X74" s="2" t="s">
        <v>632</v>
      </c>
      <c r="Y74" s="2"/>
      <c r="Z74" s="2" t="s">
        <v>47</v>
      </c>
      <c r="AA74" s="2" t="s">
        <v>48</v>
      </c>
      <c r="AB74" s="2" t="s">
        <v>295</v>
      </c>
      <c r="AC74" s="3">
        <v>46304</v>
      </c>
      <c r="AD74" s="4">
        <f>(LEN(PlannerTasks[[#This Row],[ChecklistSummary]])-LEN(SUBSTITUTE(PlannerTasks[[#This Row],[ChecklistSummary]],"""isChecked"":true","")))/LEN("""isChecked"":true")</f>
        <v>0</v>
      </c>
      <c r="AE74" s="4">
        <f>PlannerTasks[[#This Row],[ChecklistItemCount]]-PlannerTasks[[#This Row],[ChecklistDone]]</f>
        <v>0</v>
      </c>
      <c r="AF74" s="4" t="str">
        <f ca="1">IF(OR(PlannerTasks[[#This Row],[DueDateTime]]="",PlannerTasks[[#This Row],[PercentComplete]]=100),"No",IF(DATEVALUE(LEFT(PlannerTasks[[#This Row],[DueDateTime]],10))&lt;TODAY(),"Yes","No"))</f>
        <v>No</v>
      </c>
      <c r="AG74" s="4">
        <f ca="1">IF(PlannerTasks[[#This Row],[IsOverdue]]="Yes",TODAY()-DATEVALUE(LEFT(PlannerTasks[[#This Row],[DueDateTime]],10)),0)</f>
        <v>0</v>
      </c>
      <c r="AH74" s="4" t="str">
        <f ca="1">IF(OR(PlannerTasks[[#This Row],[DueDateTime]]="",PlannerTasks[[#This Row],[PercentComplete]]=100),"",DATEVALUE(LEFT(PlannerTasks[[#This Row],[DueDateTime]],10))-TODAY())</f>
        <v/>
      </c>
    </row>
    <row r="75" spans="1:34" ht="15" customHeight="1">
      <c r="A75" s="2" t="s">
        <v>633</v>
      </c>
      <c r="B75" s="2" t="s">
        <v>634</v>
      </c>
      <c r="C75" s="2" t="s">
        <v>635</v>
      </c>
      <c r="D75" s="2" t="s">
        <v>37</v>
      </c>
      <c r="E75" s="2" t="s">
        <v>619</v>
      </c>
      <c r="F75" s="2" t="s">
        <v>620</v>
      </c>
      <c r="G75" s="2">
        <v>100</v>
      </c>
      <c r="H75" s="2">
        <v>5</v>
      </c>
      <c r="I75" s="2" t="s">
        <v>40</v>
      </c>
      <c r="J75" s="2" t="s">
        <v>636</v>
      </c>
      <c r="K75" s="2" t="s">
        <v>637</v>
      </c>
      <c r="L75" s="2" t="s">
        <v>623</v>
      </c>
      <c r="M75" s="2"/>
      <c r="N75" s="2" t="s">
        <v>195</v>
      </c>
      <c r="O75" s="2" t="s">
        <v>638</v>
      </c>
      <c r="P75" s="2" t="s">
        <v>390</v>
      </c>
      <c r="Q75" s="2" t="s">
        <v>427</v>
      </c>
      <c r="R75" s="2" t="b">
        <v>1</v>
      </c>
      <c r="S75" s="2" t="s">
        <v>639</v>
      </c>
      <c r="T75" s="2">
        <v>0</v>
      </c>
      <c r="U75" s="2" t="s">
        <v>45</v>
      </c>
      <c r="V75" s="2">
        <v>0</v>
      </c>
      <c r="W75" s="2" t="s">
        <v>45</v>
      </c>
      <c r="X75" s="2" t="s">
        <v>640</v>
      </c>
      <c r="Y75" s="2"/>
      <c r="Z75" s="2" t="s">
        <v>70</v>
      </c>
      <c r="AA75" s="2" t="s">
        <v>48</v>
      </c>
      <c r="AB75" s="2" t="s">
        <v>429</v>
      </c>
      <c r="AC75" s="3">
        <v>46303</v>
      </c>
      <c r="AD75" s="4">
        <f>(LEN(PlannerTasks[[#This Row],[ChecklistSummary]])-LEN(SUBSTITUTE(PlannerTasks[[#This Row],[ChecklistSummary]],"""isChecked"":true","")))/LEN("""isChecked"":true")</f>
        <v>0</v>
      </c>
      <c r="AE75" s="4">
        <f>PlannerTasks[[#This Row],[ChecklistItemCount]]-PlannerTasks[[#This Row],[ChecklistDone]]</f>
        <v>0</v>
      </c>
      <c r="AF75" s="4" t="str">
        <f ca="1">IF(OR(PlannerTasks[[#This Row],[DueDateTime]]="",PlannerTasks[[#This Row],[PercentComplete]]=100),"No",IF(DATEVALUE(LEFT(PlannerTasks[[#This Row],[DueDateTime]],10))&lt;TODAY(),"Yes","No"))</f>
        <v>No</v>
      </c>
      <c r="AG75" s="4">
        <f ca="1">IF(PlannerTasks[[#This Row],[IsOverdue]]="Yes",TODAY()-DATEVALUE(LEFT(PlannerTasks[[#This Row],[DueDateTime]],10)),0)</f>
        <v>0</v>
      </c>
      <c r="AH75" s="4" t="str">
        <f ca="1">IF(OR(PlannerTasks[[#This Row],[DueDateTime]]="",PlannerTasks[[#This Row],[PercentComplete]]=100),"",DATEVALUE(LEFT(PlannerTasks[[#This Row],[DueDateTime]],10))-TODAY())</f>
        <v/>
      </c>
    </row>
    <row r="76" spans="1:34" ht="15" customHeight="1">
      <c r="A76" s="2" t="s">
        <v>641</v>
      </c>
      <c r="B76" s="2" t="s">
        <v>642</v>
      </c>
      <c r="C76" s="2" t="s">
        <v>643</v>
      </c>
      <c r="D76" s="2" t="s">
        <v>37</v>
      </c>
      <c r="E76" s="2" t="s">
        <v>619</v>
      </c>
      <c r="F76" s="2" t="s">
        <v>620</v>
      </c>
      <c r="G76" s="2">
        <v>100</v>
      </c>
      <c r="H76" s="2">
        <v>5</v>
      </c>
      <c r="I76" s="2" t="s">
        <v>40</v>
      </c>
      <c r="J76" s="2" t="s">
        <v>644</v>
      </c>
      <c r="K76" s="2" t="s">
        <v>645</v>
      </c>
      <c r="L76" s="2" t="s">
        <v>646</v>
      </c>
      <c r="M76" s="2"/>
      <c r="N76" s="2" t="s">
        <v>488</v>
      </c>
      <c r="O76" s="2" t="s">
        <v>647</v>
      </c>
      <c r="P76" s="2" t="s">
        <v>390</v>
      </c>
      <c r="Q76" s="2" t="s">
        <v>186</v>
      </c>
      <c r="R76" s="2" t="b">
        <v>0</v>
      </c>
      <c r="S76" s="2"/>
      <c r="T76" s="2">
        <v>0</v>
      </c>
      <c r="U76" s="2" t="s">
        <v>45</v>
      </c>
      <c r="V76" s="2">
        <v>0</v>
      </c>
      <c r="W76" s="2" t="s">
        <v>45</v>
      </c>
      <c r="X76" s="2" t="s">
        <v>648</v>
      </c>
      <c r="Y76" s="2"/>
      <c r="Z76" s="2" t="s">
        <v>70</v>
      </c>
      <c r="AA76" s="2" t="s">
        <v>48</v>
      </c>
      <c r="AB76" s="2" t="s">
        <v>188</v>
      </c>
      <c r="AC76" s="3">
        <v>46303</v>
      </c>
      <c r="AD76" s="4">
        <f>(LEN(PlannerTasks[[#This Row],[ChecklistSummary]])-LEN(SUBSTITUTE(PlannerTasks[[#This Row],[ChecklistSummary]],"""isChecked"":true","")))/LEN("""isChecked"":true")</f>
        <v>0</v>
      </c>
      <c r="AE76" s="4">
        <f>PlannerTasks[[#This Row],[ChecklistItemCount]]-PlannerTasks[[#This Row],[ChecklistDone]]</f>
        <v>0</v>
      </c>
      <c r="AF76" s="4" t="str">
        <f ca="1">IF(OR(PlannerTasks[[#This Row],[DueDateTime]]="",PlannerTasks[[#This Row],[PercentComplete]]=100),"No",IF(DATEVALUE(LEFT(PlannerTasks[[#This Row],[DueDateTime]],10))&lt;TODAY(),"Yes","No"))</f>
        <v>No</v>
      </c>
      <c r="AG76" s="4">
        <f ca="1">IF(PlannerTasks[[#This Row],[IsOverdue]]="Yes",TODAY()-DATEVALUE(LEFT(PlannerTasks[[#This Row],[DueDateTime]],10)),0)</f>
        <v>0</v>
      </c>
      <c r="AH76" s="4" t="str">
        <f ca="1">IF(OR(PlannerTasks[[#This Row],[DueDateTime]]="",PlannerTasks[[#This Row],[PercentComplete]]=100),"",DATEVALUE(LEFT(PlannerTasks[[#This Row],[DueDateTime]],10))-TODAY())</f>
        <v/>
      </c>
    </row>
    <row r="77" spans="1:34" ht="15" customHeight="1">
      <c r="A77" s="2" t="s">
        <v>649</v>
      </c>
      <c r="B77" s="2" t="s">
        <v>650</v>
      </c>
      <c r="C77" s="2" t="s">
        <v>651</v>
      </c>
      <c r="D77" s="2" t="s">
        <v>37</v>
      </c>
      <c r="E77" s="2" t="s">
        <v>619</v>
      </c>
      <c r="F77" s="2" t="s">
        <v>620</v>
      </c>
      <c r="G77" s="2">
        <v>100</v>
      </c>
      <c r="H77" s="2">
        <v>1</v>
      </c>
      <c r="I77" s="2" t="s">
        <v>609</v>
      </c>
      <c r="J77" s="2" t="s">
        <v>652</v>
      </c>
      <c r="K77" s="2" t="s">
        <v>653</v>
      </c>
      <c r="L77" s="2" t="s">
        <v>646</v>
      </c>
      <c r="M77" s="2"/>
      <c r="N77" s="2" t="s">
        <v>218</v>
      </c>
      <c r="O77" s="2" t="s">
        <v>654</v>
      </c>
      <c r="P77" s="2" t="s">
        <v>390</v>
      </c>
      <c r="Q77" s="2" t="s">
        <v>655</v>
      </c>
      <c r="R77" s="2" t="b">
        <v>0</v>
      </c>
      <c r="S77" s="2"/>
      <c r="T77" s="2">
        <v>0</v>
      </c>
      <c r="U77" s="2" t="s">
        <v>45</v>
      </c>
      <c r="V77" s="2">
        <v>0</v>
      </c>
      <c r="W77" s="2" t="s">
        <v>45</v>
      </c>
      <c r="X77" s="2" t="s">
        <v>656</v>
      </c>
      <c r="Y77" s="2"/>
      <c r="Z77" s="2" t="s">
        <v>657</v>
      </c>
      <c r="AA77" s="2" t="s">
        <v>48</v>
      </c>
      <c r="AB77" s="2" t="s">
        <v>658</v>
      </c>
      <c r="AC77" s="3" t="s">
        <v>659</v>
      </c>
      <c r="AD77" s="4">
        <f>(LEN(PlannerTasks[[#This Row],[ChecklistSummary]])-LEN(SUBSTITUTE(PlannerTasks[[#This Row],[ChecklistSummary]],"""isChecked"":true","")))/LEN("""isChecked"":true")</f>
        <v>0</v>
      </c>
      <c r="AE77" s="4">
        <f>PlannerTasks[[#This Row],[ChecklistItemCount]]-PlannerTasks[[#This Row],[ChecklistDone]]</f>
        <v>0</v>
      </c>
      <c r="AF77" s="4" t="str">
        <f ca="1">IF(OR(PlannerTasks[[#This Row],[DueDateTime]]="",PlannerTasks[[#This Row],[PercentComplete]]=100),"No",IF(DATEVALUE(LEFT(PlannerTasks[[#This Row],[DueDateTime]],10))&lt;TODAY(),"Yes","No"))</f>
        <v>No</v>
      </c>
      <c r="AG77" s="4">
        <f ca="1">IF(PlannerTasks[[#This Row],[IsOverdue]]="Yes",TODAY()-DATEVALUE(LEFT(PlannerTasks[[#This Row],[DueDateTime]],10)),0)</f>
        <v>0</v>
      </c>
      <c r="AH77" s="4" t="str">
        <f ca="1">IF(OR(PlannerTasks[[#This Row],[DueDateTime]]="",PlannerTasks[[#This Row],[PercentComplete]]=100),"",DATEVALUE(LEFT(PlannerTasks[[#This Row],[DueDateTime]],10))-TODAY())</f>
        <v/>
      </c>
    </row>
    <row r="78" spans="1:34" ht="15" customHeight="1">
      <c r="A78" s="2" t="s">
        <v>660</v>
      </c>
      <c r="B78" s="2" t="s">
        <v>661</v>
      </c>
      <c r="C78" s="2" t="s">
        <v>662</v>
      </c>
      <c r="D78" s="2" t="s">
        <v>37</v>
      </c>
      <c r="E78" s="2" t="s">
        <v>619</v>
      </c>
      <c r="F78" s="2" t="s">
        <v>620</v>
      </c>
      <c r="G78" s="2">
        <v>100</v>
      </c>
      <c r="H78" s="2">
        <v>5</v>
      </c>
      <c r="I78" s="2" t="s">
        <v>40</v>
      </c>
      <c r="J78" s="2" t="s">
        <v>663</v>
      </c>
      <c r="K78" s="2" t="s">
        <v>664</v>
      </c>
      <c r="L78" s="2" t="s">
        <v>390</v>
      </c>
      <c r="M78" s="2" t="s">
        <v>665</v>
      </c>
      <c r="N78" s="2" t="s">
        <v>666</v>
      </c>
      <c r="O78" s="2" t="s">
        <v>667</v>
      </c>
      <c r="P78" s="2" t="s">
        <v>390</v>
      </c>
      <c r="Q78" s="2" t="s">
        <v>186</v>
      </c>
      <c r="R78" s="2" t="b">
        <v>1</v>
      </c>
      <c r="S78" s="2" t="s">
        <v>668</v>
      </c>
      <c r="T78" s="2">
        <v>2</v>
      </c>
      <c r="U78" s="2" t="s">
        <v>669</v>
      </c>
      <c r="V78" s="2">
        <v>3</v>
      </c>
      <c r="W78" s="2" t="s">
        <v>670</v>
      </c>
      <c r="X78" s="2" t="s">
        <v>671</v>
      </c>
      <c r="Y78" s="2"/>
      <c r="Z78" s="2" t="s">
        <v>70</v>
      </c>
      <c r="AA78" s="2" t="s">
        <v>48</v>
      </c>
      <c r="AB78" s="2" t="s">
        <v>188</v>
      </c>
      <c r="AC78" s="3">
        <v>46296</v>
      </c>
      <c r="AD78" s="4">
        <f>(LEN(PlannerTasks[[#This Row],[ChecklistSummary]])-LEN(SUBSTITUTE(PlannerTasks[[#This Row],[ChecklistSummary]],"""isChecked"":true","")))/LEN("""isChecked"":true")</f>
        <v>1</v>
      </c>
      <c r="AE78" s="4">
        <f>PlannerTasks[[#This Row],[ChecklistItemCount]]-PlannerTasks[[#This Row],[ChecklistDone]]</f>
        <v>1</v>
      </c>
      <c r="AF78" s="4" t="str">
        <f ca="1">IF(OR(PlannerTasks[[#This Row],[DueDateTime]]="",PlannerTasks[[#This Row],[PercentComplete]]=100),"No",IF(DATEVALUE(LEFT(PlannerTasks[[#This Row],[DueDateTime]],10))&lt;TODAY(),"Yes","No"))</f>
        <v>No</v>
      </c>
      <c r="AG78" s="4">
        <f ca="1">IF(PlannerTasks[[#This Row],[IsOverdue]]="Yes",TODAY()-DATEVALUE(LEFT(PlannerTasks[[#This Row],[DueDateTime]],10)),0)</f>
        <v>0</v>
      </c>
      <c r="AH78" s="4" t="str">
        <f ca="1">IF(OR(PlannerTasks[[#This Row],[DueDateTime]]="",PlannerTasks[[#This Row],[PercentComplete]]=100),"",DATEVALUE(LEFT(PlannerTasks[[#This Row],[DueDateTime]],10))-TODAY())</f>
        <v/>
      </c>
    </row>
    <row r="79" spans="1:34" ht="15" customHeight="1">
      <c r="A79" s="2" t="s">
        <v>672</v>
      </c>
      <c r="B79" s="2" t="s">
        <v>673</v>
      </c>
      <c r="C79" s="2" t="s">
        <v>674</v>
      </c>
      <c r="D79" s="2" t="s">
        <v>37</v>
      </c>
      <c r="E79" s="2" t="s">
        <v>619</v>
      </c>
      <c r="F79" s="2" t="s">
        <v>620</v>
      </c>
      <c r="G79" s="2">
        <v>100</v>
      </c>
      <c r="H79" s="2">
        <v>3</v>
      </c>
      <c r="I79" s="2" t="s">
        <v>675</v>
      </c>
      <c r="J79" s="2" t="s">
        <v>676</v>
      </c>
      <c r="K79" s="2" t="s">
        <v>677</v>
      </c>
      <c r="L79" s="2" t="s">
        <v>390</v>
      </c>
      <c r="M79" s="2"/>
      <c r="N79" s="2"/>
      <c r="O79" s="2" t="s">
        <v>678</v>
      </c>
      <c r="P79" s="2" t="s">
        <v>390</v>
      </c>
      <c r="Q79" s="2" t="s">
        <v>186</v>
      </c>
      <c r="R79" s="2" t="b">
        <v>1</v>
      </c>
      <c r="S79" s="2" t="s">
        <v>679</v>
      </c>
      <c r="T79" s="2">
        <v>0</v>
      </c>
      <c r="U79" s="2" t="s">
        <v>45</v>
      </c>
      <c r="V79" s="2">
        <v>0</v>
      </c>
      <c r="W79" s="2" t="s">
        <v>45</v>
      </c>
      <c r="X79" s="2" t="s">
        <v>680</v>
      </c>
      <c r="Y79" s="2"/>
      <c r="Z79" s="2" t="s">
        <v>70</v>
      </c>
      <c r="AA79" s="2" t="s">
        <v>48</v>
      </c>
      <c r="AB79" s="2" t="s">
        <v>188</v>
      </c>
      <c r="AC79" s="3">
        <v>46295</v>
      </c>
      <c r="AD79" s="4">
        <f>(LEN(PlannerTasks[[#This Row],[ChecklistSummary]])-LEN(SUBSTITUTE(PlannerTasks[[#This Row],[ChecklistSummary]],"""isChecked"":true","")))/LEN("""isChecked"":true")</f>
        <v>0</v>
      </c>
      <c r="AE79" s="4">
        <f>PlannerTasks[[#This Row],[ChecklistItemCount]]-PlannerTasks[[#This Row],[ChecklistDone]]</f>
        <v>0</v>
      </c>
      <c r="AF79" s="4" t="str">
        <f ca="1">IF(OR(PlannerTasks[[#This Row],[DueDateTime]]="",PlannerTasks[[#This Row],[PercentComplete]]=100),"No",IF(DATEVALUE(LEFT(PlannerTasks[[#This Row],[DueDateTime]],10))&lt;TODAY(),"Yes","No"))</f>
        <v>No</v>
      </c>
      <c r="AG79" s="4">
        <f ca="1">IF(PlannerTasks[[#This Row],[IsOverdue]]="Yes",TODAY()-DATEVALUE(LEFT(PlannerTasks[[#This Row],[DueDateTime]],10)),0)</f>
        <v>0</v>
      </c>
      <c r="AH79" s="4" t="str">
        <f ca="1">IF(OR(PlannerTasks[[#This Row],[DueDateTime]]="",PlannerTasks[[#This Row],[PercentComplete]]=100),"",DATEVALUE(LEFT(PlannerTasks[[#This Row],[DueDateTime]],10))-TODAY())</f>
        <v/>
      </c>
    </row>
    <row r="80" spans="1:34" ht="15" customHeight="1">
      <c r="A80" s="2" t="s">
        <v>681</v>
      </c>
      <c r="B80" s="2" t="s">
        <v>682</v>
      </c>
      <c r="C80" s="2" t="s">
        <v>683</v>
      </c>
      <c r="D80" s="2" t="s">
        <v>37</v>
      </c>
      <c r="E80" s="2" t="s">
        <v>619</v>
      </c>
      <c r="F80" s="2" t="s">
        <v>620</v>
      </c>
      <c r="G80" s="2">
        <v>100</v>
      </c>
      <c r="H80" s="2">
        <v>3</v>
      </c>
      <c r="I80" s="2" t="s">
        <v>675</v>
      </c>
      <c r="J80" s="2" t="s">
        <v>684</v>
      </c>
      <c r="K80" s="2" t="s">
        <v>685</v>
      </c>
      <c r="L80" s="2" t="s">
        <v>686</v>
      </c>
      <c r="M80" s="2"/>
      <c r="N80" s="2" t="s">
        <v>666</v>
      </c>
      <c r="O80" s="2" t="s">
        <v>687</v>
      </c>
      <c r="P80" s="2" t="s">
        <v>390</v>
      </c>
      <c r="Q80" s="2" t="s">
        <v>186</v>
      </c>
      <c r="R80" s="2" t="b">
        <v>1</v>
      </c>
      <c r="S80" s="2" t="s">
        <v>688</v>
      </c>
      <c r="T80" s="2">
        <v>0</v>
      </c>
      <c r="U80" s="2" t="s">
        <v>45</v>
      </c>
      <c r="V80" s="2">
        <v>4</v>
      </c>
      <c r="W80" s="2" t="s">
        <v>689</v>
      </c>
      <c r="X80" s="2" t="s">
        <v>690</v>
      </c>
      <c r="Y80" s="2"/>
      <c r="Z80" s="2" t="s">
        <v>70</v>
      </c>
      <c r="AA80" s="2" t="s">
        <v>48</v>
      </c>
      <c r="AB80" s="2" t="s">
        <v>188</v>
      </c>
      <c r="AC80" s="3">
        <v>46303</v>
      </c>
      <c r="AD80" s="4">
        <f>(LEN(PlannerTasks[[#This Row],[ChecklistSummary]])-LEN(SUBSTITUTE(PlannerTasks[[#This Row],[ChecklistSummary]],"""isChecked"":true","")))/LEN("""isChecked"":true")</f>
        <v>0</v>
      </c>
      <c r="AE80" s="4">
        <f>PlannerTasks[[#This Row],[ChecklistItemCount]]-PlannerTasks[[#This Row],[ChecklistDone]]</f>
        <v>0</v>
      </c>
      <c r="AF80" s="4" t="str">
        <f ca="1">IF(OR(PlannerTasks[[#This Row],[DueDateTime]]="",PlannerTasks[[#This Row],[PercentComplete]]=100),"No",IF(DATEVALUE(LEFT(PlannerTasks[[#This Row],[DueDateTime]],10))&lt;TODAY(),"Yes","No"))</f>
        <v>No</v>
      </c>
      <c r="AG80" s="4">
        <f ca="1">IF(PlannerTasks[[#This Row],[IsOverdue]]="Yes",TODAY()-DATEVALUE(LEFT(PlannerTasks[[#This Row],[DueDateTime]],10)),0)</f>
        <v>0</v>
      </c>
      <c r="AH80" s="4" t="str">
        <f ca="1">IF(OR(PlannerTasks[[#This Row],[DueDateTime]]="",PlannerTasks[[#This Row],[PercentComplete]]=100),"",DATEVALUE(LEFT(PlannerTasks[[#This Row],[DueDateTime]],10))-TODAY())</f>
        <v/>
      </c>
    </row>
    <row r="81" spans="1:34" ht="15" customHeight="1">
      <c r="A81" s="2" t="s">
        <v>691</v>
      </c>
      <c r="B81" s="2" t="s">
        <v>692</v>
      </c>
      <c r="C81" s="2" t="s">
        <v>693</v>
      </c>
      <c r="D81" s="2" t="s">
        <v>37</v>
      </c>
      <c r="E81" s="2" t="s">
        <v>619</v>
      </c>
      <c r="F81" s="2" t="s">
        <v>620</v>
      </c>
      <c r="G81" s="2">
        <v>100</v>
      </c>
      <c r="H81" s="2">
        <v>5</v>
      </c>
      <c r="I81" s="2" t="s">
        <v>40</v>
      </c>
      <c r="J81" s="2" t="s">
        <v>694</v>
      </c>
      <c r="K81" s="2" t="s">
        <v>695</v>
      </c>
      <c r="L81" s="2" t="s">
        <v>390</v>
      </c>
      <c r="M81" s="2"/>
      <c r="N81" s="2"/>
      <c r="O81" s="2" t="s">
        <v>696</v>
      </c>
      <c r="P81" s="2" t="s">
        <v>390</v>
      </c>
      <c r="Q81" s="2" t="s">
        <v>67</v>
      </c>
      <c r="R81" s="2" t="b">
        <v>0</v>
      </c>
      <c r="S81" s="2"/>
      <c r="T81" s="2">
        <v>2</v>
      </c>
      <c r="U81" s="2" t="s">
        <v>697</v>
      </c>
      <c r="V81" s="2">
        <v>0</v>
      </c>
      <c r="W81" s="2" t="s">
        <v>45</v>
      </c>
      <c r="X81" s="2" t="s">
        <v>698</v>
      </c>
      <c r="Y81" s="2"/>
      <c r="Z81" s="2" t="s">
        <v>70</v>
      </c>
      <c r="AA81" s="2" t="s">
        <v>48</v>
      </c>
      <c r="AB81" s="2"/>
      <c r="AC81" s="3">
        <v>46309</v>
      </c>
      <c r="AD81" s="4">
        <f>(LEN(PlannerTasks[[#This Row],[ChecklistSummary]])-LEN(SUBSTITUTE(PlannerTasks[[#This Row],[ChecklistSummary]],"""isChecked"":true","")))/LEN("""isChecked"":true")</f>
        <v>0</v>
      </c>
      <c r="AE81" s="4">
        <f>PlannerTasks[[#This Row],[ChecklistItemCount]]-PlannerTasks[[#This Row],[ChecklistDone]]</f>
        <v>2</v>
      </c>
      <c r="AF81" s="4" t="str">
        <f ca="1">IF(OR(PlannerTasks[[#This Row],[DueDateTime]]="",PlannerTasks[[#This Row],[PercentComplete]]=100),"No",IF(DATEVALUE(LEFT(PlannerTasks[[#This Row],[DueDateTime]],10))&lt;TODAY(),"Yes","No"))</f>
        <v>No</v>
      </c>
      <c r="AG81" s="4">
        <f ca="1">IF(PlannerTasks[[#This Row],[IsOverdue]]="Yes",TODAY()-DATEVALUE(LEFT(PlannerTasks[[#This Row],[DueDateTime]],10)),0)</f>
        <v>0</v>
      </c>
      <c r="AH81" s="4" t="str">
        <f ca="1">IF(OR(PlannerTasks[[#This Row],[DueDateTime]]="",PlannerTasks[[#This Row],[PercentComplete]]=100),"",DATEVALUE(LEFT(PlannerTasks[[#This Row],[DueDateTime]],10))-TODAY())</f>
        <v/>
      </c>
    </row>
    <row r="82" spans="1:34" ht="15" customHeight="1">
      <c r="A82" s="2" t="s">
        <v>699</v>
      </c>
      <c r="B82" s="2" t="s">
        <v>700</v>
      </c>
      <c r="C82" s="2" t="s">
        <v>701</v>
      </c>
      <c r="D82" s="2" t="s">
        <v>37</v>
      </c>
      <c r="E82" s="2" t="s">
        <v>619</v>
      </c>
      <c r="F82" s="2" t="s">
        <v>620</v>
      </c>
      <c r="G82" s="2">
        <v>100</v>
      </c>
      <c r="H82" s="2">
        <v>5</v>
      </c>
      <c r="I82" s="2" t="s">
        <v>40</v>
      </c>
      <c r="J82" s="2" t="s">
        <v>702</v>
      </c>
      <c r="K82" s="2" t="s">
        <v>703</v>
      </c>
      <c r="L82" s="2" t="s">
        <v>43</v>
      </c>
      <c r="M82" s="2"/>
      <c r="N82" s="2"/>
      <c r="O82" s="2" t="s">
        <v>704</v>
      </c>
      <c r="P82" s="2" t="s">
        <v>43</v>
      </c>
      <c r="Q82" s="2" t="s">
        <v>360</v>
      </c>
      <c r="R82" s="2" t="b">
        <v>0</v>
      </c>
      <c r="S82" s="2"/>
      <c r="T82" s="2">
        <v>0</v>
      </c>
      <c r="U82" s="2" t="s">
        <v>45</v>
      </c>
      <c r="V82" s="2">
        <v>0</v>
      </c>
      <c r="W82" s="2" t="s">
        <v>45</v>
      </c>
      <c r="X82" s="2" t="s">
        <v>705</v>
      </c>
      <c r="Y82" s="2"/>
      <c r="Z82" s="2" t="s">
        <v>47</v>
      </c>
      <c r="AA82" s="2" t="s">
        <v>48</v>
      </c>
      <c r="AB82" s="2" t="s">
        <v>362</v>
      </c>
      <c r="AC82" s="3">
        <v>46307</v>
      </c>
      <c r="AD82" s="4">
        <f>(LEN(PlannerTasks[[#This Row],[ChecklistSummary]])-LEN(SUBSTITUTE(PlannerTasks[[#This Row],[ChecklistSummary]],"""isChecked"":true","")))/LEN("""isChecked"":true")</f>
        <v>0</v>
      </c>
      <c r="AE82" s="4">
        <f>PlannerTasks[[#This Row],[ChecklistItemCount]]-PlannerTasks[[#This Row],[ChecklistDone]]</f>
        <v>0</v>
      </c>
      <c r="AF82" s="4" t="str">
        <f ca="1">IF(OR(PlannerTasks[[#This Row],[DueDateTime]]="",PlannerTasks[[#This Row],[PercentComplete]]=100),"No",IF(DATEVALUE(LEFT(PlannerTasks[[#This Row],[DueDateTime]],10))&lt;TODAY(),"Yes","No"))</f>
        <v>No</v>
      </c>
      <c r="AG82" s="4">
        <f ca="1">IF(PlannerTasks[[#This Row],[IsOverdue]]="Yes",TODAY()-DATEVALUE(LEFT(PlannerTasks[[#This Row],[DueDateTime]],10)),0)</f>
        <v>0</v>
      </c>
      <c r="AH82" s="4" t="str">
        <f ca="1">IF(OR(PlannerTasks[[#This Row],[DueDateTime]]="",PlannerTasks[[#This Row],[PercentComplete]]=100),"",DATEVALUE(LEFT(PlannerTasks[[#This Row],[DueDateTime]],10))-TODAY())</f>
        <v/>
      </c>
    </row>
    <row r="83" spans="1:34" ht="15" customHeight="1">
      <c r="A83" s="2" t="s">
        <v>706</v>
      </c>
      <c r="B83" s="2" t="s">
        <v>707</v>
      </c>
      <c r="C83" s="2" t="s">
        <v>708</v>
      </c>
      <c r="D83" s="2" t="s">
        <v>37</v>
      </c>
      <c r="E83" s="2" t="s">
        <v>619</v>
      </c>
      <c r="F83" s="2" t="s">
        <v>620</v>
      </c>
      <c r="G83" s="2">
        <v>100</v>
      </c>
      <c r="H83" s="2">
        <v>5</v>
      </c>
      <c r="I83" s="2" t="s">
        <v>40</v>
      </c>
      <c r="J83" s="2" t="s">
        <v>709</v>
      </c>
      <c r="K83" s="2" t="s">
        <v>710</v>
      </c>
      <c r="L83" s="2" t="s">
        <v>43</v>
      </c>
      <c r="M83" s="2"/>
      <c r="N83" s="2"/>
      <c r="O83" s="2" t="s">
        <v>711</v>
      </c>
      <c r="P83" s="2" t="s">
        <v>43</v>
      </c>
      <c r="Q83" s="2" t="s">
        <v>143</v>
      </c>
      <c r="R83" s="2" t="b">
        <v>0</v>
      </c>
      <c r="S83" s="2"/>
      <c r="T83" s="2">
        <v>0</v>
      </c>
      <c r="U83" s="2" t="s">
        <v>45</v>
      </c>
      <c r="V83" s="2">
        <v>0</v>
      </c>
      <c r="W83" s="2" t="s">
        <v>45</v>
      </c>
      <c r="X83" s="2" t="s">
        <v>712</v>
      </c>
      <c r="Y83" s="2"/>
      <c r="Z83" s="2" t="s">
        <v>47</v>
      </c>
      <c r="AA83" s="2" t="s">
        <v>48</v>
      </c>
      <c r="AB83" s="2" t="s">
        <v>145</v>
      </c>
      <c r="AC83" s="3">
        <v>46307</v>
      </c>
      <c r="AD83" s="4">
        <f>(LEN(PlannerTasks[[#This Row],[ChecklistSummary]])-LEN(SUBSTITUTE(PlannerTasks[[#This Row],[ChecklistSummary]],"""isChecked"":true","")))/LEN("""isChecked"":true")</f>
        <v>0</v>
      </c>
      <c r="AE83" s="4">
        <f>PlannerTasks[[#This Row],[ChecklistItemCount]]-PlannerTasks[[#This Row],[ChecklistDone]]</f>
        <v>0</v>
      </c>
      <c r="AF83" s="4" t="str">
        <f ca="1">IF(OR(PlannerTasks[[#This Row],[DueDateTime]]="",PlannerTasks[[#This Row],[PercentComplete]]=100),"No",IF(DATEVALUE(LEFT(PlannerTasks[[#This Row],[DueDateTime]],10))&lt;TODAY(),"Yes","No"))</f>
        <v>No</v>
      </c>
      <c r="AG83" s="4">
        <f ca="1">IF(PlannerTasks[[#This Row],[IsOverdue]]="Yes",TODAY()-DATEVALUE(LEFT(PlannerTasks[[#This Row],[DueDateTime]],10)),0)</f>
        <v>0</v>
      </c>
      <c r="AH83" s="4" t="str">
        <f ca="1">IF(OR(PlannerTasks[[#This Row],[DueDateTime]]="",PlannerTasks[[#This Row],[PercentComplete]]=100),"",DATEVALUE(LEFT(PlannerTasks[[#This Row],[DueDateTime]],10))-TODAY())</f>
        <v/>
      </c>
    </row>
    <row r="84" spans="1:34" ht="15" customHeight="1">
      <c r="A84" s="2" t="s">
        <v>713</v>
      </c>
      <c r="B84" s="2" t="s">
        <v>714</v>
      </c>
      <c r="C84" s="2" t="s">
        <v>715</v>
      </c>
      <c r="D84" s="2" t="s">
        <v>37</v>
      </c>
      <c r="E84" s="2" t="s">
        <v>619</v>
      </c>
      <c r="F84" s="2" t="s">
        <v>620</v>
      </c>
      <c r="G84" s="2">
        <v>100</v>
      </c>
      <c r="H84" s="2">
        <v>5</v>
      </c>
      <c r="I84" s="2" t="s">
        <v>40</v>
      </c>
      <c r="J84" s="2" t="s">
        <v>716</v>
      </c>
      <c r="K84" s="2" t="s">
        <v>717</v>
      </c>
      <c r="L84" s="2" t="s">
        <v>43</v>
      </c>
      <c r="M84" s="2"/>
      <c r="N84" s="2"/>
      <c r="O84" s="2" t="s">
        <v>718</v>
      </c>
      <c r="P84" s="2" t="s">
        <v>43</v>
      </c>
      <c r="Q84" s="2" t="s">
        <v>143</v>
      </c>
      <c r="R84" s="2" t="b">
        <v>0</v>
      </c>
      <c r="S84" s="2"/>
      <c r="T84" s="2">
        <v>0</v>
      </c>
      <c r="U84" s="2" t="s">
        <v>45</v>
      </c>
      <c r="V84" s="2">
        <v>0</v>
      </c>
      <c r="W84" s="2" t="s">
        <v>45</v>
      </c>
      <c r="X84" s="2" t="s">
        <v>719</v>
      </c>
      <c r="Y84" s="2"/>
      <c r="Z84" s="2" t="s">
        <v>47</v>
      </c>
      <c r="AA84" s="2" t="s">
        <v>48</v>
      </c>
      <c r="AB84" s="2" t="s">
        <v>145</v>
      </c>
      <c r="AC84" s="3">
        <v>46303</v>
      </c>
      <c r="AD84" s="4">
        <f>(LEN(PlannerTasks[[#This Row],[ChecklistSummary]])-LEN(SUBSTITUTE(PlannerTasks[[#This Row],[ChecklistSummary]],"""isChecked"":true","")))/LEN("""isChecked"":true")</f>
        <v>0</v>
      </c>
      <c r="AE84" s="4">
        <f>PlannerTasks[[#This Row],[ChecklistItemCount]]-PlannerTasks[[#This Row],[ChecklistDone]]</f>
        <v>0</v>
      </c>
      <c r="AF84" s="4" t="str">
        <f ca="1">IF(OR(PlannerTasks[[#This Row],[DueDateTime]]="",PlannerTasks[[#This Row],[PercentComplete]]=100),"No",IF(DATEVALUE(LEFT(PlannerTasks[[#This Row],[DueDateTime]],10))&lt;TODAY(),"Yes","No"))</f>
        <v>No</v>
      </c>
      <c r="AG84" s="4">
        <f ca="1">IF(PlannerTasks[[#This Row],[IsOverdue]]="Yes",TODAY()-DATEVALUE(LEFT(PlannerTasks[[#This Row],[DueDateTime]],10)),0)</f>
        <v>0</v>
      </c>
      <c r="AH84" s="4" t="str">
        <f ca="1">IF(OR(PlannerTasks[[#This Row],[DueDateTime]]="",PlannerTasks[[#This Row],[PercentComplete]]=100),"",DATEVALUE(LEFT(PlannerTasks[[#This Row],[DueDateTime]],10))-TODAY())</f>
        <v/>
      </c>
    </row>
    <row r="85" spans="1:34" ht="15" customHeight="1">
      <c r="A85" s="2" t="s">
        <v>720</v>
      </c>
      <c r="B85" s="2" t="s">
        <v>721</v>
      </c>
      <c r="C85" s="2" t="s">
        <v>722</v>
      </c>
      <c r="D85" s="2" t="s">
        <v>37</v>
      </c>
      <c r="E85" s="2" t="s">
        <v>619</v>
      </c>
      <c r="F85" s="2" t="s">
        <v>620</v>
      </c>
      <c r="G85" s="2">
        <v>100</v>
      </c>
      <c r="H85" s="2">
        <v>5</v>
      </c>
      <c r="I85" s="2" t="s">
        <v>40</v>
      </c>
      <c r="J85" s="2" t="s">
        <v>723</v>
      </c>
      <c r="K85" s="2" t="s">
        <v>724</v>
      </c>
      <c r="L85" s="2" t="s">
        <v>43</v>
      </c>
      <c r="M85" s="2"/>
      <c r="N85" s="2"/>
      <c r="O85" s="2" t="s">
        <v>725</v>
      </c>
      <c r="P85" s="2" t="s">
        <v>43</v>
      </c>
      <c r="Q85" s="2" t="s">
        <v>143</v>
      </c>
      <c r="R85" s="2" t="b">
        <v>0</v>
      </c>
      <c r="S85" s="2"/>
      <c r="T85" s="2">
        <v>0</v>
      </c>
      <c r="U85" s="2" t="s">
        <v>45</v>
      </c>
      <c r="V85" s="2">
        <v>0</v>
      </c>
      <c r="W85" s="2" t="s">
        <v>45</v>
      </c>
      <c r="X85" s="2" t="s">
        <v>726</v>
      </c>
      <c r="Y85" s="2"/>
      <c r="Z85" s="2" t="s">
        <v>47</v>
      </c>
      <c r="AA85" s="2" t="s">
        <v>48</v>
      </c>
      <c r="AB85" s="2" t="s">
        <v>145</v>
      </c>
      <c r="AC85" s="3">
        <v>46304</v>
      </c>
      <c r="AD85" s="4">
        <f>(LEN(PlannerTasks[[#This Row],[ChecklistSummary]])-LEN(SUBSTITUTE(PlannerTasks[[#This Row],[ChecklistSummary]],"""isChecked"":true","")))/LEN("""isChecked"":true")</f>
        <v>0</v>
      </c>
      <c r="AE85" s="4">
        <f>PlannerTasks[[#This Row],[ChecklistItemCount]]-PlannerTasks[[#This Row],[ChecklistDone]]</f>
        <v>0</v>
      </c>
      <c r="AF85" s="4" t="str">
        <f ca="1">IF(OR(PlannerTasks[[#This Row],[DueDateTime]]="",PlannerTasks[[#This Row],[PercentComplete]]=100),"No",IF(DATEVALUE(LEFT(PlannerTasks[[#This Row],[DueDateTime]],10))&lt;TODAY(),"Yes","No"))</f>
        <v>No</v>
      </c>
      <c r="AG85" s="4">
        <f ca="1">IF(PlannerTasks[[#This Row],[IsOverdue]]="Yes",TODAY()-DATEVALUE(LEFT(PlannerTasks[[#This Row],[DueDateTime]],10)),0)</f>
        <v>0</v>
      </c>
      <c r="AH85" s="4" t="str">
        <f ca="1">IF(OR(PlannerTasks[[#This Row],[DueDateTime]]="",PlannerTasks[[#This Row],[PercentComplete]]=100),"",DATEVALUE(LEFT(PlannerTasks[[#This Row],[DueDateTime]],10))-TODAY())</f>
        <v/>
      </c>
    </row>
    <row r="86" spans="1:34" ht="15" customHeight="1">
      <c r="A86" s="2" t="s">
        <v>727</v>
      </c>
      <c r="B86" s="2" t="s">
        <v>728</v>
      </c>
      <c r="C86" s="2" t="s">
        <v>729</v>
      </c>
      <c r="D86" s="2" t="s">
        <v>37</v>
      </c>
      <c r="E86" s="2" t="s">
        <v>619</v>
      </c>
      <c r="F86" s="2" t="s">
        <v>620</v>
      </c>
      <c r="G86" s="2">
        <v>100</v>
      </c>
      <c r="H86" s="2">
        <v>5</v>
      </c>
      <c r="I86" s="2" t="s">
        <v>40</v>
      </c>
      <c r="J86" s="2" t="s">
        <v>730</v>
      </c>
      <c r="K86" s="2" t="s">
        <v>731</v>
      </c>
      <c r="L86" s="2" t="s">
        <v>43</v>
      </c>
      <c r="M86" s="2"/>
      <c r="N86" s="2"/>
      <c r="O86" s="2" t="s">
        <v>732</v>
      </c>
      <c r="P86" s="2" t="s">
        <v>43</v>
      </c>
      <c r="Q86" s="2" t="s">
        <v>97</v>
      </c>
      <c r="R86" s="2" t="b">
        <v>0</v>
      </c>
      <c r="S86" s="2"/>
      <c r="T86" s="2">
        <v>0</v>
      </c>
      <c r="U86" s="2" t="s">
        <v>45</v>
      </c>
      <c r="V86" s="2">
        <v>0</v>
      </c>
      <c r="W86" s="2" t="s">
        <v>45</v>
      </c>
      <c r="X86" s="2" t="s">
        <v>733</v>
      </c>
      <c r="Y86" s="2"/>
      <c r="Z86" s="2" t="s">
        <v>47</v>
      </c>
      <c r="AA86" s="2" t="s">
        <v>48</v>
      </c>
      <c r="AB86" s="2" t="s">
        <v>101</v>
      </c>
      <c r="AC86" s="3">
        <v>46303</v>
      </c>
      <c r="AD86" s="4">
        <f>(LEN(PlannerTasks[[#This Row],[ChecklistSummary]])-LEN(SUBSTITUTE(PlannerTasks[[#This Row],[ChecklistSummary]],"""isChecked"":true","")))/LEN("""isChecked"":true")</f>
        <v>0</v>
      </c>
      <c r="AE86" s="4">
        <f>PlannerTasks[[#This Row],[ChecklistItemCount]]-PlannerTasks[[#This Row],[ChecklistDone]]</f>
        <v>0</v>
      </c>
      <c r="AF86" s="4" t="str">
        <f ca="1">IF(OR(PlannerTasks[[#This Row],[DueDateTime]]="",PlannerTasks[[#This Row],[PercentComplete]]=100),"No",IF(DATEVALUE(LEFT(PlannerTasks[[#This Row],[DueDateTime]],10))&lt;TODAY(),"Yes","No"))</f>
        <v>No</v>
      </c>
      <c r="AG86" s="4">
        <f ca="1">IF(PlannerTasks[[#This Row],[IsOverdue]]="Yes",TODAY()-DATEVALUE(LEFT(PlannerTasks[[#This Row],[DueDateTime]],10)),0)</f>
        <v>0</v>
      </c>
      <c r="AH86" s="4" t="str">
        <f ca="1">IF(OR(PlannerTasks[[#This Row],[DueDateTime]]="",PlannerTasks[[#This Row],[PercentComplete]]=100),"",DATEVALUE(LEFT(PlannerTasks[[#This Row],[DueDateTime]],10))-TODAY())</f>
        <v/>
      </c>
    </row>
    <row r="87" spans="1:34" ht="15" customHeight="1">
      <c r="A87" s="2" t="s">
        <v>734</v>
      </c>
      <c r="B87" s="2" t="s">
        <v>735</v>
      </c>
      <c r="C87" s="2" t="s">
        <v>736</v>
      </c>
      <c r="D87" s="2" t="s">
        <v>37</v>
      </c>
      <c r="E87" s="2" t="s">
        <v>619</v>
      </c>
      <c r="F87" s="2" t="s">
        <v>620</v>
      </c>
      <c r="G87" s="2">
        <v>100</v>
      </c>
      <c r="H87" s="2">
        <v>5</v>
      </c>
      <c r="I87" s="2" t="s">
        <v>40</v>
      </c>
      <c r="J87" s="2" t="s">
        <v>737</v>
      </c>
      <c r="K87" s="2" t="s">
        <v>738</v>
      </c>
      <c r="L87" s="2" t="s">
        <v>623</v>
      </c>
      <c r="M87" s="2" t="s">
        <v>739</v>
      </c>
      <c r="N87" s="2" t="s">
        <v>449</v>
      </c>
      <c r="O87" s="2" t="s">
        <v>740</v>
      </c>
      <c r="P87" s="2" t="s">
        <v>390</v>
      </c>
      <c r="Q87" s="2" t="s">
        <v>186</v>
      </c>
      <c r="R87" s="2" t="b">
        <v>1</v>
      </c>
      <c r="S87" s="2" t="s">
        <v>741</v>
      </c>
      <c r="T87" s="2">
        <v>0</v>
      </c>
      <c r="U87" s="2" t="s">
        <v>45</v>
      </c>
      <c r="V87" s="2">
        <v>0</v>
      </c>
      <c r="W87" s="2" t="s">
        <v>45</v>
      </c>
      <c r="X87" s="2" t="s">
        <v>742</v>
      </c>
      <c r="Y87" s="2"/>
      <c r="Z87" s="2" t="s">
        <v>70</v>
      </c>
      <c r="AA87" s="2" t="s">
        <v>48</v>
      </c>
      <c r="AB87" s="2" t="s">
        <v>188</v>
      </c>
      <c r="AC87" s="3">
        <v>46296</v>
      </c>
      <c r="AD87" s="4">
        <f>(LEN(PlannerTasks[[#This Row],[ChecklistSummary]])-LEN(SUBSTITUTE(PlannerTasks[[#This Row],[ChecklistSummary]],"""isChecked"":true","")))/LEN("""isChecked"":true")</f>
        <v>0</v>
      </c>
      <c r="AE87" s="4">
        <f>PlannerTasks[[#This Row],[ChecklistItemCount]]-PlannerTasks[[#This Row],[ChecklistDone]]</f>
        <v>0</v>
      </c>
      <c r="AF87" s="4" t="str">
        <f ca="1">IF(OR(PlannerTasks[[#This Row],[DueDateTime]]="",PlannerTasks[[#This Row],[PercentComplete]]=100),"No",IF(DATEVALUE(LEFT(PlannerTasks[[#This Row],[DueDateTime]],10))&lt;TODAY(),"Yes","No"))</f>
        <v>No</v>
      </c>
      <c r="AG87" s="4">
        <f ca="1">IF(PlannerTasks[[#This Row],[IsOverdue]]="Yes",TODAY()-DATEVALUE(LEFT(PlannerTasks[[#This Row],[DueDateTime]],10)),0)</f>
        <v>0</v>
      </c>
      <c r="AH87" s="4" t="str">
        <f ca="1">IF(OR(PlannerTasks[[#This Row],[DueDateTime]]="",PlannerTasks[[#This Row],[PercentComplete]]=100),"",DATEVALUE(LEFT(PlannerTasks[[#This Row],[DueDateTime]],10))-TODAY())</f>
        <v/>
      </c>
    </row>
    <row r="88" spans="1:34" ht="15" customHeight="1">
      <c r="A88" s="2" t="s">
        <v>743</v>
      </c>
      <c r="B88" s="2" t="s">
        <v>744</v>
      </c>
      <c r="C88" s="2" t="s">
        <v>745</v>
      </c>
      <c r="D88" s="2" t="s">
        <v>37</v>
      </c>
      <c r="E88" s="2" t="s">
        <v>619</v>
      </c>
      <c r="F88" s="2" t="s">
        <v>620</v>
      </c>
      <c r="G88" s="2">
        <v>100</v>
      </c>
      <c r="H88" s="2">
        <v>5</v>
      </c>
      <c r="I88" s="2" t="s">
        <v>40</v>
      </c>
      <c r="J88" s="2" t="s">
        <v>746</v>
      </c>
      <c r="K88" s="2" t="s">
        <v>747</v>
      </c>
      <c r="L88" s="2" t="s">
        <v>390</v>
      </c>
      <c r="M88" s="2"/>
      <c r="N88" s="2" t="s">
        <v>449</v>
      </c>
      <c r="O88" s="2" t="s">
        <v>748</v>
      </c>
      <c r="P88" s="2" t="s">
        <v>390</v>
      </c>
      <c r="Q88" s="2" t="s">
        <v>489</v>
      </c>
      <c r="R88" s="2" t="b">
        <v>0</v>
      </c>
      <c r="S88" s="2"/>
      <c r="T88" s="2">
        <v>0</v>
      </c>
      <c r="U88" s="2" t="s">
        <v>45</v>
      </c>
      <c r="V88" s="2">
        <v>0</v>
      </c>
      <c r="W88" s="2" t="s">
        <v>45</v>
      </c>
      <c r="X88" s="2" t="s">
        <v>749</v>
      </c>
      <c r="Y88" s="2"/>
      <c r="Z88" s="2" t="s">
        <v>70</v>
      </c>
      <c r="AA88" s="2" t="s">
        <v>48</v>
      </c>
      <c r="AB88" s="2" t="s">
        <v>492</v>
      </c>
      <c r="AC88" s="3">
        <v>46304</v>
      </c>
      <c r="AD88" s="4">
        <f>(LEN(PlannerTasks[[#This Row],[ChecklistSummary]])-LEN(SUBSTITUTE(PlannerTasks[[#This Row],[ChecklistSummary]],"""isChecked"":true","")))/LEN("""isChecked"":true")</f>
        <v>0</v>
      </c>
      <c r="AE88" s="4">
        <f>PlannerTasks[[#This Row],[ChecklistItemCount]]-PlannerTasks[[#This Row],[ChecklistDone]]</f>
        <v>0</v>
      </c>
      <c r="AF88" s="4" t="str">
        <f ca="1">IF(OR(PlannerTasks[[#This Row],[DueDateTime]]="",PlannerTasks[[#This Row],[PercentComplete]]=100),"No",IF(DATEVALUE(LEFT(PlannerTasks[[#This Row],[DueDateTime]],10))&lt;TODAY(),"Yes","No"))</f>
        <v>No</v>
      </c>
      <c r="AG88" s="4">
        <f ca="1">IF(PlannerTasks[[#This Row],[IsOverdue]]="Yes",TODAY()-DATEVALUE(LEFT(PlannerTasks[[#This Row],[DueDateTime]],10)),0)</f>
        <v>0</v>
      </c>
      <c r="AH88" s="4" t="str">
        <f ca="1">IF(OR(PlannerTasks[[#This Row],[DueDateTime]]="",PlannerTasks[[#This Row],[PercentComplete]]=100),"",DATEVALUE(LEFT(PlannerTasks[[#This Row],[DueDateTime]],10))-TODAY())</f>
        <v/>
      </c>
    </row>
    <row r="89" spans="1:34" ht="15" customHeight="1">
      <c r="A89" s="2" t="s">
        <v>750</v>
      </c>
      <c r="B89" s="2" t="s">
        <v>751</v>
      </c>
      <c r="C89" s="2" t="s">
        <v>752</v>
      </c>
      <c r="D89" s="2" t="s">
        <v>37</v>
      </c>
      <c r="E89" s="2" t="s">
        <v>619</v>
      </c>
      <c r="F89" s="2" t="s">
        <v>620</v>
      </c>
      <c r="G89" s="2">
        <v>100</v>
      </c>
      <c r="H89" s="2">
        <v>5</v>
      </c>
      <c r="I89" s="2" t="s">
        <v>40</v>
      </c>
      <c r="J89" s="2" t="s">
        <v>753</v>
      </c>
      <c r="K89" s="2" t="s">
        <v>754</v>
      </c>
      <c r="L89" s="2" t="s">
        <v>390</v>
      </c>
      <c r="M89" s="2"/>
      <c r="N89" s="2"/>
      <c r="O89" s="2" t="s">
        <v>755</v>
      </c>
      <c r="P89" s="2" t="s">
        <v>390</v>
      </c>
      <c r="Q89" s="2" t="s">
        <v>97</v>
      </c>
      <c r="R89" s="2" t="b">
        <v>0</v>
      </c>
      <c r="S89" s="2"/>
      <c r="T89" s="2">
        <v>0</v>
      </c>
      <c r="U89" s="2" t="s">
        <v>45</v>
      </c>
      <c r="V89" s="2">
        <v>0</v>
      </c>
      <c r="W89" s="2" t="s">
        <v>45</v>
      </c>
      <c r="X89" s="2" t="s">
        <v>756</v>
      </c>
      <c r="Y89" s="2"/>
      <c r="Z89" s="2" t="s">
        <v>70</v>
      </c>
      <c r="AA89" s="2" t="s">
        <v>48</v>
      </c>
      <c r="AB89" s="2" t="s">
        <v>101</v>
      </c>
      <c r="AC89" s="3">
        <v>46304</v>
      </c>
      <c r="AD89" s="4">
        <f>(LEN(PlannerTasks[[#This Row],[ChecklistSummary]])-LEN(SUBSTITUTE(PlannerTasks[[#This Row],[ChecklistSummary]],"""isChecked"":true","")))/LEN("""isChecked"":true")</f>
        <v>0</v>
      </c>
      <c r="AE89" s="4">
        <f>PlannerTasks[[#This Row],[ChecklistItemCount]]-PlannerTasks[[#This Row],[ChecklistDone]]</f>
        <v>0</v>
      </c>
      <c r="AF89" s="4" t="str">
        <f ca="1">IF(OR(PlannerTasks[[#This Row],[DueDateTime]]="",PlannerTasks[[#This Row],[PercentComplete]]=100),"No",IF(DATEVALUE(LEFT(PlannerTasks[[#This Row],[DueDateTime]],10))&lt;TODAY(),"Yes","No"))</f>
        <v>No</v>
      </c>
      <c r="AG89" s="4">
        <f ca="1">IF(PlannerTasks[[#This Row],[IsOverdue]]="Yes",TODAY()-DATEVALUE(LEFT(PlannerTasks[[#This Row],[DueDateTime]],10)),0)</f>
        <v>0</v>
      </c>
      <c r="AH89" s="4" t="str">
        <f ca="1">IF(OR(PlannerTasks[[#This Row],[DueDateTime]]="",PlannerTasks[[#This Row],[PercentComplete]]=100),"",DATEVALUE(LEFT(PlannerTasks[[#This Row],[DueDateTime]],10))-TODAY())</f>
        <v/>
      </c>
    </row>
    <row r="90" spans="1:34" ht="15" customHeight="1">
      <c r="A90" s="2" t="s">
        <v>757</v>
      </c>
      <c r="B90" s="2" t="s">
        <v>758</v>
      </c>
      <c r="C90" s="2" t="s">
        <v>759</v>
      </c>
      <c r="D90" s="2" t="s">
        <v>37</v>
      </c>
      <c r="E90" s="2" t="s">
        <v>619</v>
      </c>
      <c r="F90" s="2" t="s">
        <v>620</v>
      </c>
      <c r="G90" s="2">
        <v>100</v>
      </c>
      <c r="H90" s="2">
        <v>5</v>
      </c>
      <c r="I90" s="2" t="s">
        <v>40</v>
      </c>
      <c r="J90" s="2" t="s">
        <v>760</v>
      </c>
      <c r="K90" s="2" t="s">
        <v>761</v>
      </c>
      <c r="L90" s="2" t="s">
        <v>43</v>
      </c>
      <c r="M90" s="2"/>
      <c r="N90" s="2"/>
      <c r="O90" s="2" t="s">
        <v>762</v>
      </c>
      <c r="P90" s="2" t="s">
        <v>43</v>
      </c>
      <c r="Q90" s="2" t="s">
        <v>143</v>
      </c>
      <c r="R90" s="2" t="b">
        <v>0</v>
      </c>
      <c r="S90" s="2"/>
      <c r="T90" s="2">
        <v>0</v>
      </c>
      <c r="U90" s="2" t="s">
        <v>45</v>
      </c>
      <c r="V90" s="2">
        <v>0</v>
      </c>
      <c r="W90" s="2" t="s">
        <v>45</v>
      </c>
      <c r="X90" s="2" t="s">
        <v>763</v>
      </c>
      <c r="Y90" s="2"/>
      <c r="Z90" s="2" t="s">
        <v>764</v>
      </c>
      <c r="AA90" s="2" t="s">
        <v>48</v>
      </c>
      <c r="AB90" s="2" t="s">
        <v>145</v>
      </c>
      <c r="AC90" s="3" t="s">
        <v>765</v>
      </c>
      <c r="AD90" s="4">
        <f>(LEN(PlannerTasks[[#This Row],[ChecklistSummary]])-LEN(SUBSTITUTE(PlannerTasks[[#This Row],[ChecklistSummary]],"""isChecked"":true","")))/LEN("""isChecked"":true")</f>
        <v>0</v>
      </c>
      <c r="AE90" s="4">
        <f>PlannerTasks[[#This Row],[ChecklistItemCount]]-PlannerTasks[[#This Row],[ChecklistDone]]</f>
        <v>0</v>
      </c>
      <c r="AF90" s="4" t="str">
        <f ca="1">IF(OR(PlannerTasks[[#This Row],[DueDateTime]]="",PlannerTasks[[#This Row],[PercentComplete]]=100),"No",IF(DATEVALUE(LEFT(PlannerTasks[[#This Row],[DueDateTime]],10))&lt;TODAY(),"Yes","No"))</f>
        <v>No</v>
      </c>
      <c r="AG90" s="4">
        <f ca="1">IF(PlannerTasks[[#This Row],[IsOverdue]]="Yes",TODAY()-DATEVALUE(LEFT(PlannerTasks[[#This Row],[DueDateTime]],10)),0)</f>
        <v>0</v>
      </c>
      <c r="AH90" s="4" t="str">
        <f ca="1">IF(OR(PlannerTasks[[#This Row],[DueDateTime]]="",PlannerTasks[[#This Row],[PercentComplete]]=100),"",DATEVALUE(LEFT(PlannerTasks[[#This Row],[DueDateTime]],10))-TODAY())</f>
        <v/>
      </c>
    </row>
    <row r="91" spans="1:34" ht="15" customHeight="1">
      <c r="A91" s="2" t="s">
        <v>766</v>
      </c>
      <c r="B91" s="2" t="s">
        <v>767</v>
      </c>
      <c r="C91" s="2" t="s">
        <v>768</v>
      </c>
      <c r="D91" s="2" t="s">
        <v>37</v>
      </c>
      <c r="E91" s="2" t="s">
        <v>619</v>
      </c>
      <c r="F91" s="2" t="s">
        <v>620</v>
      </c>
      <c r="G91" s="2">
        <v>100</v>
      </c>
      <c r="H91" s="2">
        <v>5</v>
      </c>
      <c r="I91" s="2" t="s">
        <v>40</v>
      </c>
      <c r="J91" s="2" t="s">
        <v>769</v>
      </c>
      <c r="K91" s="2" t="s">
        <v>770</v>
      </c>
      <c r="L91" s="2" t="s">
        <v>43</v>
      </c>
      <c r="M91" s="2"/>
      <c r="N91" s="2"/>
      <c r="O91" s="2" t="s">
        <v>771</v>
      </c>
      <c r="P91" s="2" t="s">
        <v>43</v>
      </c>
      <c r="Q91" s="2" t="s">
        <v>78</v>
      </c>
      <c r="R91" s="2" t="b">
        <v>0</v>
      </c>
      <c r="S91" s="2"/>
      <c r="T91" s="2">
        <v>2</v>
      </c>
      <c r="U91" s="2" t="s">
        <v>772</v>
      </c>
      <c r="V91" s="2">
        <v>0</v>
      </c>
      <c r="W91" s="2" t="s">
        <v>45</v>
      </c>
      <c r="X91" s="2" t="s">
        <v>773</v>
      </c>
      <c r="Y91" s="2"/>
      <c r="Z91" s="2" t="s">
        <v>764</v>
      </c>
      <c r="AA91" s="2" t="s">
        <v>48</v>
      </c>
      <c r="AB91" s="2" t="s">
        <v>80</v>
      </c>
      <c r="AC91" s="3" t="s">
        <v>765</v>
      </c>
      <c r="AD91" s="4">
        <f>(LEN(PlannerTasks[[#This Row],[ChecklistSummary]])-LEN(SUBSTITUTE(PlannerTasks[[#This Row],[ChecklistSummary]],"""isChecked"":true","")))/LEN("""isChecked"":true")</f>
        <v>0</v>
      </c>
      <c r="AE91" s="4">
        <f>PlannerTasks[[#This Row],[ChecklistItemCount]]-PlannerTasks[[#This Row],[ChecklistDone]]</f>
        <v>2</v>
      </c>
      <c r="AF91" s="4" t="str">
        <f ca="1">IF(OR(PlannerTasks[[#This Row],[DueDateTime]]="",PlannerTasks[[#This Row],[PercentComplete]]=100),"No",IF(DATEVALUE(LEFT(PlannerTasks[[#This Row],[DueDateTime]],10))&lt;TODAY(),"Yes","No"))</f>
        <v>No</v>
      </c>
      <c r="AG91" s="4">
        <f ca="1">IF(PlannerTasks[[#This Row],[IsOverdue]]="Yes",TODAY()-DATEVALUE(LEFT(PlannerTasks[[#This Row],[DueDateTime]],10)),0)</f>
        <v>0</v>
      </c>
      <c r="AH91" s="4" t="str">
        <f ca="1">IF(OR(PlannerTasks[[#This Row],[DueDateTime]]="",PlannerTasks[[#This Row],[PercentComplete]]=100),"",DATEVALUE(LEFT(PlannerTasks[[#This Row],[DueDateTime]],10))-TODAY())</f>
        <v/>
      </c>
    </row>
    <row r="92" spans="1:34" ht="15" customHeight="1">
      <c r="A92" s="2" t="s">
        <v>774</v>
      </c>
      <c r="B92" s="2" t="s">
        <v>775</v>
      </c>
      <c r="C92" s="2" t="s">
        <v>776</v>
      </c>
      <c r="D92" s="2" t="s">
        <v>37</v>
      </c>
      <c r="E92" s="2" t="s">
        <v>619</v>
      </c>
      <c r="F92" s="2" t="s">
        <v>620</v>
      </c>
      <c r="G92" s="2">
        <v>100</v>
      </c>
      <c r="H92" s="2">
        <v>1</v>
      </c>
      <c r="I92" s="2" t="s">
        <v>609</v>
      </c>
      <c r="J92" s="2" t="s">
        <v>777</v>
      </c>
      <c r="K92" s="2" t="s">
        <v>778</v>
      </c>
      <c r="L92" s="2" t="s">
        <v>646</v>
      </c>
      <c r="M92" s="2" t="s">
        <v>779</v>
      </c>
      <c r="N92" s="2" t="s">
        <v>666</v>
      </c>
      <c r="O92" s="2" t="s">
        <v>780</v>
      </c>
      <c r="P92" s="2" t="s">
        <v>390</v>
      </c>
      <c r="Q92" s="2" t="s">
        <v>781</v>
      </c>
      <c r="R92" s="2" t="b">
        <v>0</v>
      </c>
      <c r="S92" s="2"/>
      <c r="T92" s="2">
        <v>1</v>
      </c>
      <c r="U92" s="2" t="s">
        <v>782</v>
      </c>
      <c r="V92" s="2">
        <v>1</v>
      </c>
      <c r="W92" s="2" t="s">
        <v>783</v>
      </c>
      <c r="X92" s="2" t="s">
        <v>784</v>
      </c>
      <c r="Y92" s="2"/>
      <c r="Z92" s="2" t="s">
        <v>70</v>
      </c>
      <c r="AA92" s="2" t="s">
        <v>48</v>
      </c>
      <c r="AB92" s="2" t="s">
        <v>785</v>
      </c>
      <c r="AC92" s="3">
        <v>46302</v>
      </c>
      <c r="AD92" s="4">
        <f>(LEN(PlannerTasks[[#This Row],[ChecklistSummary]])-LEN(SUBSTITUTE(PlannerTasks[[#This Row],[ChecklistSummary]],"""isChecked"":true","")))/LEN("""isChecked"":true")</f>
        <v>0</v>
      </c>
      <c r="AE92" s="4">
        <f>PlannerTasks[[#This Row],[ChecklistItemCount]]-PlannerTasks[[#This Row],[ChecklistDone]]</f>
        <v>1</v>
      </c>
      <c r="AF92" s="4" t="str">
        <f ca="1">IF(OR(PlannerTasks[[#This Row],[DueDateTime]]="",PlannerTasks[[#This Row],[PercentComplete]]=100),"No",IF(DATEVALUE(LEFT(PlannerTasks[[#This Row],[DueDateTime]],10))&lt;TODAY(),"Yes","No"))</f>
        <v>No</v>
      </c>
      <c r="AG92" s="4">
        <f ca="1">IF(PlannerTasks[[#This Row],[IsOverdue]]="Yes",TODAY()-DATEVALUE(LEFT(PlannerTasks[[#This Row],[DueDateTime]],10)),0)</f>
        <v>0</v>
      </c>
      <c r="AH92" s="4" t="str">
        <f ca="1">IF(OR(PlannerTasks[[#This Row],[DueDateTime]]="",PlannerTasks[[#This Row],[PercentComplete]]=100),"",DATEVALUE(LEFT(PlannerTasks[[#This Row],[DueDateTime]],10))-TODAY())</f>
        <v/>
      </c>
    </row>
    <row r="93" spans="1:34" ht="15" customHeight="1">
      <c r="A93" s="2" t="s">
        <v>786</v>
      </c>
      <c r="B93" s="2" t="s">
        <v>787</v>
      </c>
      <c r="C93" s="2" t="s">
        <v>788</v>
      </c>
      <c r="D93" s="2" t="s">
        <v>37</v>
      </c>
      <c r="E93" s="2" t="s">
        <v>619</v>
      </c>
      <c r="F93" s="2" t="s">
        <v>620</v>
      </c>
      <c r="G93" s="2">
        <v>100</v>
      </c>
      <c r="H93" s="2">
        <v>5</v>
      </c>
      <c r="I93" s="2" t="s">
        <v>40</v>
      </c>
      <c r="J93" s="2" t="s">
        <v>789</v>
      </c>
      <c r="K93" s="2" t="s">
        <v>790</v>
      </c>
      <c r="L93" s="2" t="s">
        <v>96</v>
      </c>
      <c r="M93" s="2"/>
      <c r="N93" s="2"/>
      <c r="O93" s="2" t="s">
        <v>791</v>
      </c>
      <c r="P93" s="2" t="s">
        <v>96</v>
      </c>
      <c r="Q93" s="2" t="s">
        <v>792</v>
      </c>
      <c r="R93" s="2" t="b">
        <v>1</v>
      </c>
      <c r="S93" s="2" t="s">
        <v>793</v>
      </c>
      <c r="T93" s="2">
        <v>2</v>
      </c>
      <c r="U93" s="2" t="s">
        <v>794</v>
      </c>
      <c r="V93" s="2">
        <v>1</v>
      </c>
      <c r="W93" s="2" t="s">
        <v>795</v>
      </c>
      <c r="X93" s="2" t="s">
        <v>796</v>
      </c>
      <c r="Y93" s="2"/>
      <c r="Z93" s="2" t="s">
        <v>100</v>
      </c>
      <c r="AA93" s="2" t="s">
        <v>48</v>
      </c>
      <c r="AB93" s="2" t="s">
        <v>797</v>
      </c>
      <c r="AC93" s="3">
        <v>46303</v>
      </c>
      <c r="AD93" s="4">
        <f>(LEN(PlannerTasks[[#This Row],[ChecklistSummary]])-LEN(SUBSTITUTE(PlannerTasks[[#This Row],[ChecklistSummary]],"""isChecked"":true","")))/LEN("""isChecked"":true")</f>
        <v>2</v>
      </c>
      <c r="AE93" s="4">
        <f>PlannerTasks[[#This Row],[ChecklistItemCount]]-PlannerTasks[[#This Row],[ChecklistDone]]</f>
        <v>0</v>
      </c>
      <c r="AF93" s="4" t="str">
        <f ca="1">IF(OR(PlannerTasks[[#This Row],[DueDateTime]]="",PlannerTasks[[#This Row],[PercentComplete]]=100),"No",IF(DATEVALUE(LEFT(PlannerTasks[[#This Row],[DueDateTime]],10))&lt;TODAY(),"Yes","No"))</f>
        <v>No</v>
      </c>
      <c r="AG93" s="4">
        <f ca="1">IF(PlannerTasks[[#This Row],[IsOverdue]]="Yes",TODAY()-DATEVALUE(LEFT(PlannerTasks[[#This Row],[DueDateTime]],10)),0)</f>
        <v>0</v>
      </c>
      <c r="AH93" s="4" t="str">
        <f ca="1">IF(OR(PlannerTasks[[#This Row],[DueDateTime]]="",PlannerTasks[[#This Row],[PercentComplete]]=100),"",DATEVALUE(LEFT(PlannerTasks[[#This Row],[DueDateTime]],10))-TODAY())</f>
        <v/>
      </c>
    </row>
    <row r="94" spans="1:34" ht="15" customHeight="1">
      <c r="A94" s="2" t="s">
        <v>798</v>
      </c>
      <c r="B94" s="2" t="s">
        <v>799</v>
      </c>
      <c r="C94" s="2" t="s">
        <v>800</v>
      </c>
      <c r="D94" s="2" t="s">
        <v>37</v>
      </c>
      <c r="E94" s="2" t="s">
        <v>619</v>
      </c>
      <c r="F94" s="2" t="s">
        <v>620</v>
      </c>
      <c r="G94" s="2">
        <v>100</v>
      </c>
      <c r="H94" s="2">
        <v>5</v>
      </c>
      <c r="I94" s="2" t="s">
        <v>40</v>
      </c>
      <c r="J94" s="2" t="s">
        <v>801</v>
      </c>
      <c r="K94" s="2" t="s">
        <v>802</v>
      </c>
      <c r="L94" s="2" t="s">
        <v>96</v>
      </c>
      <c r="M94" s="2" t="s">
        <v>803</v>
      </c>
      <c r="N94" s="2"/>
      <c r="O94" s="2" t="s">
        <v>804</v>
      </c>
      <c r="P94" s="2" t="s">
        <v>96</v>
      </c>
      <c r="Q94" s="2" t="s">
        <v>805</v>
      </c>
      <c r="R94" s="2" t="b">
        <v>1</v>
      </c>
      <c r="S94" s="2" t="s">
        <v>806</v>
      </c>
      <c r="T94" s="2">
        <v>6</v>
      </c>
      <c r="U94" s="2" t="s">
        <v>807</v>
      </c>
      <c r="V94" s="2">
        <v>0</v>
      </c>
      <c r="W94" s="2" t="s">
        <v>45</v>
      </c>
      <c r="X94" s="2" t="s">
        <v>808</v>
      </c>
      <c r="Y94" s="2"/>
      <c r="Z94" s="2" t="s">
        <v>100</v>
      </c>
      <c r="AA94" s="2" t="s">
        <v>48</v>
      </c>
      <c r="AB94" s="2" t="s">
        <v>809</v>
      </c>
      <c r="AC94" s="3">
        <v>46303</v>
      </c>
      <c r="AD94" s="4">
        <f>(LEN(PlannerTasks[[#This Row],[ChecklistSummary]])-LEN(SUBSTITUTE(PlannerTasks[[#This Row],[ChecklistSummary]],"""isChecked"":true","")))/LEN("""isChecked"":true")</f>
        <v>6</v>
      </c>
      <c r="AE94" s="4">
        <f>PlannerTasks[[#This Row],[ChecklistItemCount]]-PlannerTasks[[#This Row],[ChecklistDone]]</f>
        <v>0</v>
      </c>
      <c r="AF94" s="4" t="str">
        <f ca="1">IF(OR(PlannerTasks[[#This Row],[DueDateTime]]="",PlannerTasks[[#This Row],[PercentComplete]]=100),"No",IF(DATEVALUE(LEFT(PlannerTasks[[#This Row],[DueDateTime]],10))&lt;TODAY(),"Yes","No"))</f>
        <v>No</v>
      </c>
      <c r="AG94" s="4">
        <f ca="1">IF(PlannerTasks[[#This Row],[IsOverdue]]="Yes",TODAY()-DATEVALUE(LEFT(PlannerTasks[[#This Row],[DueDateTime]],10)),0)</f>
        <v>0</v>
      </c>
      <c r="AH94" s="4" t="str">
        <f ca="1">IF(OR(PlannerTasks[[#This Row],[DueDateTime]]="",PlannerTasks[[#This Row],[PercentComplete]]=100),"",DATEVALUE(LEFT(PlannerTasks[[#This Row],[DueDateTime]],10))-TODAY())</f>
        <v/>
      </c>
    </row>
    <row r="95" spans="1:34" ht="15" customHeight="1">
      <c r="A95" s="2" t="s">
        <v>810</v>
      </c>
      <c r="B95" s="2" t="s">
        <v>811</v>
      </c>
      <c r="C95" s="2" t="s">
        <v>812</v>
      </c>
      <c r="D95" s="2" t="s">
        <v>37</v>
      </c>
      <c r="E95" s="2" t="s">
        <v>619</v>
      </c>
      <c r="F95" s="2" t="s">
        <v>620</v>
      </c>
      <c r="G95" s="2">
        <v>100</v>
      </c>
      <c r="H95" s="2">
        <v>5</v>
      </c>
      <c r="I95" s="2" t="s">
        <v>40</v>
      </c>
      <c r="J95" s="2" t="s">
        <v>813</v>
      </c>
      <c r="K95" s="2" t="s">
        <v>814</v>
      </c>
      <c r="L95" s="2" t="s">
        <v>96</v>
      </c>
      <c r="M95" s="2" t="s">
        <v>815</v>
      </c>
      <c r="N95" s="2"/>
      <c r="O95" s="2" t="s">
        <v>816</v>
      </c>
      <c r="P95" s="2" t="s">
        <v>96</v>
      </c>
      <c r="Q95" s="2" t="s">
        <v>97</v>
      </c>
      <c r="R95" s="2" t="b">
        <v>1</v>
      </c>
      <c r="S95" s="2" t="s">
        <v>817</v>
      </c>
      <c r="T95" s="2">
        <v>5</v>
      </c>
      <c r="U95" s="2" t="s">
        <v>818</v>
      </c>
      <c r="V95" s="2">
        <v>0</v>
      </c>
      <c r="W95" s="2" t="s">
        <v>45</v>
      </c>
      <c r="X95" s="2" t="s">
        <v>819</v>
      </c>
      <c r="Y95" s="2"/>
      <c r="Z95" s="2" t="s">
        <v>100</v>
      </c>
      <c r="AA95" s="2" t="s">
        <v>48</v>
      </c>
      <c r="AB95" s="2" t="s">
        <v>101</v>
      </c>
      <c r="AC95" s="3">
        <v>46303</v>
      </c>
      <c r="AD95" s="4">
        <f>(LEN(PlannerTasks[[#This Row],[ChecklistSummary]])-LEN(SUBSTITUTE(PlannerTasks[[#This Row],[ChecklistSummary]],"""isChecked"":true","")))/LEN("""isChecked"":true")</f>
        <v>5</v>
      </c>
      <c r="AE95" s="4">
        <f>PlannerTasks[[#This Row],[ChecklistItemCount]]-PlannerTasks[[#This Row],[ChecklistDone]]</f>
        <v>0</v>
      </c>
      <c r="AF95" s="4" t="str">
        <f ca="1">IF(OR(PlannerTasks[[#This Row],[DueDateTime]]="",PlannerTasks[[#This Row],[PercentComplete]]=100),"No",IF(DATEVALUE(LEFT(PlannerTasks[[#This Row],[DueDateTime]],10))&lt;TODAY(),"Yes","No"))</f>
        <v>No</v>
      </c>
      <c r="AG95" s="4">
        <f ca="1">IF(PlannerTasks[[#This Row],[IsOverdue]]="Yes",TODAY()-DATEVALUE(LEFT(PlannerTasks[[#This Row],[DueDateTime]],10)),0)</f>
        <v>0</v>
      </c>
      <c r="AH95" s="4" t="str">
        <f ca="1">IF(OR(PlannerTasks[[#This Row],[DueDateTime]]="",PlannerTasks[[#This Row],[PercentComplete]]=100),"",DATEVALUE(LEFT(PlannerTasks[[#This Row],[DueDateTime]],10))-TODAY())</f>
        <v/>
      </c>
    </row>
    <row r="96" spans="1:34" ht="15" customHeight="1">
      <c r="A96" s="2" t="s">
        <v>820</v>
      </c>
      <c r="B96" s="2" t="s">
        <v>821</v>
      </c>
      <c r="C96" s="2" t="s">
        <v>822</v>
      </c>
      <c r="D96" s="2" t="s">
        <v>37</v>
      </c>
      <c r="E96" s="2" t="s">
        <v>619</v>
      </c>
      <c r="F96" s="2" t="s">
        <v>620</v>
      </c>
      <c r="G96" s="2">
        <v>100</v>
      </c>
      <c r="H96" s="2">
        <v>5</v>
      </c>
      <c r="I96" s="2" t="s">
        <v>40</v>
      </c>
      <c r="J96" s="2" t="s">
        <v>823</v>
      </c>
      <c r="K96" s="2" t="s">
        <v>824</v>
      </c>
      <c r="L96" s="2" t="s">
        <v>390</v>
      </c>
      <c r="M96" s="2"/>
      <c r="N96" s="2"/>
      <c r="O96" s="2" t="s">
        <v>825</v>
      </c>
      <c r="P96" s="2" t="s">
        <v>390</v>
      </c>
      <c r="Q96" s="2" t="s">
        <v>781</v>
      </c>
      <c r="R96" s="2" t="b">
        <v>0</v>
      </c>
      <c r="S96" s="2"/>
      <c r="T96" s="2">
        <v>0</v>
      </c>
      <c r="U96" s="2" t="s">
        <v>45</v>
      </c>
      <c r="V96" s="2">
        <v>0</v>
      </c>
      <c r="W96" s="2" t="s">
        <v>45</v>
      </c>
      <c r="X96" s="2" t="s">
        <v>826</v>
      </c>
      <c r="Y96" s="2"/>
      <c r="Z96" s="2" t="s">
        <v>70</v>
      </c>
      <c r="AA96" s="2" t="s">
        <v>48</v>
      </c>
      <c r="AB96" s="2" t="s">
        <v>785</v>
      </c>
      <c r="AC96" s="3">
        <v>46303</v>
      </c>
      <c r="AD96" s="4">
        <f>(LEN(PlannerTasks[[#This Row],[ChecklistSummary]])-LEN(SUBSTITUTE(PlannerTasks[[#This Row],[ChecklistSummary]],"""isChecked"":true","")))/LEN("""isChecked"":true")</f>
        <v>0</v>
      </c>
      <c r="AE96" s="4">
        <f>PlannerTasks[[#This Row],[ChecklistItemCount]]-PlannerTasks[[#This Row],[ChecklistDone]]</f>
        <v>0</v>
      </c>
      <c r="AF96" s="4" t="str">
        <f ca="1">IF(OR(PlannerTasks[[#This Row],[DueDateTime]]="",PlannerTasks[[#This Row],[PercentComplete]]=100),"No",IF(DATEVALUE(LEFT(PlannerTasks[[#This Row],[DueDateTime]],10))&lt;TODAY(),"Yes","No"))</f>
        <v>No</v>
      </c>
      <c r="AG96" s="4">
        <f ca="1">IF(PlannerTasks[[#This Row],[IsOverdue]]="Yes",TODAY()-DATEVALUE(LEFT(PlannerTasks[[#This Row],[DueDateTime]],10)),0)</f>
        <v>0</v>
      </c>
      <c r="AH96" s="4" t="str">
        <f ca="1">IF(OR(PlannerTasks[[#This Row],[DueDateTime]]="",PlannerTasks[[#This Row],[PercentComplete]]=100),"",DATEVALUE(LEFT(PlannerTasks[[#This Row],[DueDateTime]],10))-TODAY())</f>
        <v/>
      </c>
    </row>
    <row r="97" spans="1:34" ht="15" customHeight="1">
      <c r="A97" s="2" t="s">
        <v>827</v>
      </c>
      <c r="B97" s="2" t="s">
        <v>828</v>
      </c>
      <c r="C97" s="2" t="s">
        <v>829</v>
      </c>
      <c r="D97" s="2" t="s">
        <v>37</v>
      </c>
      <c r="E97" s="2" t="s">
        <v>619</v>
      </c>
      <c r="F97" s="2" t="s">
        <v>620</v>
      </c>
      <c r="G97" s="2">
        <v>100</v>
      </c>
      <c r="H97" s="2">
        <v>5</v>
      </c>
      <c r="I97" s="2" t="s">
        <v>40</v>
      </c>
      <c r="J97" s="2" t="s">
        <v>830</v>
      </c>
      <c r="K97" s="2" t="s">
        <v>831</v>
      </c>
      <c r="L97" s="2" t="s">
        <v>390</v>
      </c>
      <c r="M97" s="2"/>
      <c r="N97" s="2" t="s">
        <v>779</v>
      </c>
      <c r="O97" s="2" t="s">
        <v>832</v>
      </c>
      <c r="P97" s="2" t="s">
        <v>43</v>
      </c>
      <c r="Q97" s="2" t="s">
        <v>186</v>
      </c>
      <c r="R97" s="2" t="b">
        <v>0</v>
      </c>
      <c r="S97" s="2"/>
      <c r="T97" s="2">
        <v>0</v>
      </c>
      <c r="U97" s="2" t="s">
        <v>45</v>
      </c>
      <c r="V97" s="2">
        <v>0</v>
      </c>
      <c r="W97" s="2" t="s">
        <v>45</v>
      </c>
      <c r="X97" s="2" t="s">
        <v>833</v>
      </c>
      <c r="Y97" s="2"/>
      <c r="Z97" s="2" t="s">
        <v>70</v>
      </c>
      <c r="AA97" s="2" t="s">
        <v>48</v>
      </c>
      <c r="AB97" s="2" t="s">
        <v>188</v>
      </c>
      <c r="AC97" s="3">
        <v>46300</v>
      </c>
      <c r="AD97" s="4">
        <f>(LEN(PlannerTasks[[#This Row],[ChecklistSummary]])-LEN(SUBSTITUTE(PlannerTasks[[#This Row],[ChecklistSummary]],"""isChecked"":true","")))/LEN("""isChecked"":true")</f>
        <v>0</v>
      </c>
      <c r="AE97" s="4">
        <f>PlannerTasks[[#This Row],[ChecklistItemCount]]-PlannerTasks[[#This Row],[ChecklistDone]]</f>
        <v>0</v>
      </c>
      <c r="AF97" s="4" t="str">
        <f ca="1">IF(OR(PlannerTasks[[#This Row],[DueDateTime]]="",PlannerTasks[[#This Row],[PercentComplete]]=100),"No",IF(DATEVALUE(LEFT(PlannerTasks[[#This Row],[DueDateTime]],10))&lt;TODAY(),"Yes","No"))</f>
        <v>No</v>
      </c>
      <c r="AG97" s="4">
        <f ca="1">IF(PlannerTasks[[#This Row],[IsOverdue]]="Yes",TODAY()-DATEVALUE(LEFT(PlannerTasks[[#This Row],[DueDateTime]],10)),0)</f>
        <v>0</v>
      </c>
      <c r="AH97" s="4" t="str">
        <f ca="1">IF(OR(PlannerTasks[[#This Row],[DueDateTime]]="",PlannerTasks[[#This Row],[PercentComplete]]=100),"",DATEVALUE(LEFT(PlannerTasks[[#This Row],[DueDateTime]],10))-TODAY())</f>
        <v/>
      </c>
    </row>
    <row r="98" spans="1:34" ht="15" customHeight="1">
      <c r="A98" s="2" t="s">
        <v>834</v>
      </c>
      <c r="B98" s="2" t="s">
        <v>835</v>
      </c>
      <c r="C98" s="2" t="s">
        <v>836</v>
      </c>
      <c r="D98" s="2" t="s">
        <v>37</v>
      </c>
      <c r="E98" s="2" t="s">
        <v>619</v>
      </c>
      <c r="F98" s="2" t="s">
        <v>620</v>
      </c>
      <c r="G98" s="2">
        <v>100</v>
      </c>
      <c r="H98" s="2">
        <v>5</v>
      </c>
      <c r="I98" s="2" t="s">
        <v>40</v>
      </c>
      <c r="J98" s="2" t="s">
        <v>837</v>
      </c>
      <c r="K98" s="2" t="s">
        <v>838</v>
      </c>
      <c r="L98" s="2" t="s">
        <v>623</v>
      </c>
      <c r="M98" s="2"/>
      <c r="N98" s="2" t="s">
        <v>666</v>
      </c>
      <c r="O98" s="2" t="s">
        <v>839</v>
      </c>
      <c r="P98" s="2" t="s">
        <v>390</v>
      </c>
      <c r="Q98" s="2" t="s">
        <v>186</v>
      </c>
      <c r="R98" s="2" t="b">
        <v>1</v>
      </c>
      <c r="S98" s="2" t="s">
        <v>840</v>
      </c>
      <c r="T98" s="2">
        <v>0</v>
      </c>
      <c r="U98" s="2" t="s">
        <v>45</v>
      </c>
      <c r="V98" s="2">
        <v>0</v>
      </c>
      <c r="W98" s="2" t="s">
        <v>45</v>
      </c>
      <c r="X98" s="2" t="s">
        <v>841</v>
      </c>
      <c r="Y98" s="2"/>
      <c r="Z98" s="2" t="s">
        <v>70</v>
      </c>
      <c r="AA98" s="2" t="s">
        <v>48</v>
      </c>
      <c r="AB98" s="2" t="s">
        <v>188</v>
      </c>
      <c r="AC98" s="3">
        <v>46295</v>
      </c>
      <c r="AD98" s="4">
        <f>(LEN(PlannerTasks[[#This Row],[ChecklistSummary]])-LEN(SUBSTITUTE(PlannerTasks[[#This Row],[ChecklistSummary]],"""isChecked"":true","")))/LEN("""isChecked"":true")</f>
        <v>0</v>
      </c>
      <c r="AE98" s="4">
        <f>PlannerTasks[[#This Row],[ChecklistItemCount]]-PlannerTasks[[#This Row],[ChecklistDone]]</f>
        <v>0</v>
      </c>
      <c r="AF98" s="4" t="str">
        <f ca="1">IF(OR(PlannerTasks[[#This Row],[DueDateTime]]="",PlannerTasks[[#This Row],[PercentComplete]]=100),"No",IF(DATEVALUE(LEFT(PlannerTasks[[#This Row],[DueDateTime]],10))&lt;TODAY(),"Yes","No"))</f>
        <v>No</v>
      </c>
      <c r="AG98" s="4">
        <f ca="1">IF(PlannerTasks[[#This Row],[IsOverdue]]="Yes",TODAY()-DATEVALUE(LEFT(PlannerTasks[[#This Row],[DueDateTime]],10)),0)</f>
        <v>0</v>
      </c>
      <c r="AH98" s="4" t="str">
        <f ca="1">IF(OR(PlannerTasks[[#This Row],[DueDateTime]]="",PlannerTasks[[#This Row],[PercentComplete]]=100),"",DATEVALUE(LEFT(PlannerTasks[[#This Row],[DueDateTime]],10))-TODAY())</f>
        <v/>
      </c>
    </row>
    <row r="99" spans="1:34" ht="15" customHeight="1">
      <c r="A99" s="2" t="s">
        <v>842</v>
      </c>
      <c r="B99" s="2" t="s">
        <v>843</v>
      </c>
      <c r="C99" s="2" t="s">
        <v>844</v>
      </c>
      <c r="D99" s="2" t="s">
        <v>37</v>
      </c>
      <c r="E99" s="2" t="s">
        <v>619</v>
      </c>
      <c r="F99" s="2" t="s">
        <v>620</v>
      </c>
      <c r="G99" s="2">
        <v>100</v>
      </c>
      <c r="H99" s="2">
        <v>5</v>
      </c>
      <c r="I99" s="2" t="s">
        <v>40</v>
      </c>
      <c r="J99" s="2" t="s">
        <v>845</v>
      </c>
      <c r="K99" s="2" t="s">
        <v>846</v>
      </c>
      <c r="L99" s="2" t="s">
        <v>43</v>
      </c>
      <c r="M99" s="2"/>
      <c r="N99" s="2"/>
      <c r="O99" s="2" t="s">
        <v>847</v>
      </c>
      <c r="P99" s="2" t="s">
        <v>43</v>
      </c>
      <c r="Q99" s="2" t="s">
        <v>307</v>
      </c>
      <c r="R99" s="2" t="b">
        <v>0</v>
      </c>
      <c r="S99" s="2"/>
      <c r="T99" s="2">
        <v>0</v>
      </c>
      <c r="U99" s="2" t="s">
        <v>45</v>
      </c>
      <c r="V99" s="2">
        <v>0</v>
      </c>
      <c r="W99" s="2" t="s">
        <v>45</v>
      </c>
      <c r="X99" s="2" t="s">
        <v>848</v>
      </c>
      <c r="Y99" s="2"/>
      <c r="Z99" s="2" t="s">
        <v>47</v>
      </c>
      <c r="AA99" s="2" t="s">
        <v>48</v>
      </c>
      <c r="AB99" s="2" t="s">
        <v>309</v>
      </c>
      <c r="AC99" s="3">
        <v>46302</v>
      </c>
      <c r="AD99" s="4">
        <f>(LEN(PlannerTasks[[#This Row],[ChecklistSummary]])-LEN(SUBSTITUTE(PlannerTasks[[#This Row],[ChecklistSummary]],"""isChecked"":true","")))/LEN("""isChecked"":true")</f>
        <v>0</v>
      </c>
      <c r="AE99" s="4">
        <f>PlannerTasks[[#This Row],[ChecklistItemCount]]-PlannerTasks[[#This Row],[ChecklistDone]]</f>
        <v>0</v>
      </c>
      <c r="AF99" s="4" t="str">
        <f ca="1">IF(OR(PlannerTasks[[#This Row],[DueDateTime]]="",PlannerTasks[[#This Row],[PercentComplete]]=100),"No",IF(DATEVALUE(LEFT(PlannerTasks[[#This Row],[DueDateTime]],10))&lt;TODAY(),"Yes","No"))</f>
        <v>No</v>
      </c>
      <c r="AG99" s="4">
        <f ca="1">IF(PlannerTasks[[#This Row],[IsOverdue]]="Yes",TODAY()-DATEVALUE(LEFT(PlannerTasks[[#This Row],[DueDateTime]],10)),0)</f>
        <v>0</v>
      </c>
      <c r="AH99" s="4" t="str">
        <f ca="1">IF(OR(PlannerTasks[[#This Row],[DueDateTime]]="",PlannerTasks[[#This Row],[PercentComplete]]=100),"",DATEVALUE(LEFT(PlannerTasks[[#This Row],[DueDateTime]],10))-TODAY())</f>
        <v/>
      </c>
    </row>
    <row r="100" spans="1:34" ht="15" customHeight="1">
      <c r="A100" s="2" t="s">
        <v>849</v>
      </c>
      <c r="B100" s="2" t="s">
        <v>850</v>
      </c>
      <c r="C100" s="2" t="s">
        <v>851</v>
      </c>
      <c r="D100" s="2" t="s">
        <v>37</v>
      </c>
      <c r="E100" s="2" t="s">
        <v>619</v>
      </c>
      <c r="F100" s="2" t="s">
        <v>620</v>
      </c>
      <c r="G100" s="2">
        <v>100</v>
      </c>
      <c r="H100" s="2">
        <v>1</v>
      </c>
      <c r="I100" s="2" t="s">
        <v>609</v>
      </c>
      <c r="J100" s="2" t="s">
        <v>852</v>
      </c>
      <c r="K100" s="2" t="s">
        <v>853</v>
      </c>
      <c r="L100" s="2" t="s">
        <v>854</v>
      </c>
      <c r="M100" s="2"/>
      <c r="N100" s="2" t="s">
        <v>666</v>
      </c>
      <c r="O100" s="2" t="s">
        <v>855</v>
      </c>
      <c r="P100" s="2" t="s">
        <v>390</v>
      </c>
      <c r="Q100" s="2" t="s">
        <v>97</v>
      </c>
      <c r="R100" s="2" t="b">
        <v>1</v>
      </c>
      <c r="S100" s="2" t="s">
        <v>856</v>
      </c>
      <c r="T100" s="2">
        <v>0</v>
      </c>
      <c r="U100" s="2" t="s">
        <v>45</v>
      </c>
      <c r="V100" s="2">
        <v>0</v>
      </c>
      <c r="W100" s="2" t="s">
        <v>45</v>
      </c>
      <c r="X100" s="2" t="s">
        <v>857</v>
      </c>
      <c r="Y100" s="2"/>
      <c r="Z100" s="2" t="s">
        <v>70</v>
      </c>
      <c r="AA100" s="2" t="s">
        <v>48</v>
      </c>
      <c r="AB100" s="2" t="s">
        <v>101</v>
      </c>
      <c r="AC100" s="3">
        <v>46300</v>
      </c>
      <c r="AD100" s="4">
        <f>(LEN(PlannerTasks[[#This Row],[ChecklistSummary]])-LEN(SUBSTITUTE(PlannerTasks[[#This Row],[ChecklistSummary]],"""isChecked"":true","")))/LEN("""isChecked"":true")</f>
        <v>0</v>
      </c>
      <c r="AE100" s="4">
        <f>PlannerTasks[[#This Row],[ChecklistItemCount]]-PlannerTasks[[#This Row],[ChecklistDone]]</f>
        <v>0</v>
      </c>
      <c r="AF100" s="4" t="str">
        <f ca="1">IF(OR(PlannerTasks[[#This Row],[DueDateTime]]="",PlannerTasks[[#This Row],[PercentComplete]]=100),"No",IF(DATEVALUE(LEFT(PlannerTasks[[#This Row],[DueDateTime]],10))&lt;TODAY(),"Yes","No"))</f>
        <v>No</v>
      </c>
      <c r="AG100" s="4">
        <f ca="1">IF(PlannerTasks[[#This Row],[IsOverdue]]="Yes",TODAY()-DATEVALUE(LEFT(PlannerTasks[[#This Row],[DueDateTime]],10)),0)</f>
        <v>0</v>
      </c>
      <c r="AH100" s="4" t="str">
        <f ca="1">IF(OR(PlannerTasks[[#This Row],[DueDateTime]]="",PlannerTasks[[#This Row],[PercentComplete]]=100),"",DATEVALUE(LEFT(PlannerTasks[[#This Row],[DueDateTime]],10))-TODAY())</f>
        <v/>
      </c>
    </row>
    <row r="101" spans="1:34" ht="15" customHeight="1">
      <c r="A101" s="2" t="s">
        <v>858</v>
      </c>
      <c r="B101" s="2" t="s">
        <v>859</v>
      </c>
      <c r="C101" s="2" t="s">
        <v>860</v>
      </c>
      <c r="D101" s="2" t="s">
        <v>37</v>
      </c>
      <c r="E101" s="2" t="s">
        <v>619</v>
      </c>
      <c r="F101" s="2" t="s">
        <v>620</v>
      </c>
      <c r="G101" s="2">
        <v>100</v>
      </c>
      <c r="H101" s="2">
        <v>5</v>
      </c>
      <c r="I101" s="2" t="s">
        <v>40</v>
      </c>
      <c r="J101" s="2" t="s">
        <v>861</v>
      </c>
      <c r="K101" s="2" t="s">
        <v>862</v>
      </c>
      <c r="L101" s="2" t="s">
        <v>43</v>
      </c>
      <c r="M101" s="2"/>
      <c r="N101" s="2"/>
      <c r="O101" s="2" t="s">
        <v>863</v>
      </c>
      <c r="P101" s="2" t="s">
        <v>43</v>
      </c>
      <c r="Q101" s="2" t="s">
        <v>360</v>
      </c>
      <c r="R101" s="2" t="b">
        <v>0</v>
      </c>
      <c r="S101" s="2"/>
      <c r="T101" s="2">
        <v>0</v>
      </c>
      <c r="U101" s="2" t="s">
        <v>45</v>
      </c>
      <c r="V101" s="2">
        <v>0</v>
      </c>
      <c r="W101" s="2" t="s">
        <v>45</v>
      </c>
      <c r="X101" s="2" t="s">
        <v>864</v>
      </c>
      <c r="Y101" s="2"/>
      <c r="Z101" s="2" t="s">
        <v>47</v>
      </c>
      <c r="AA101" s="2" t="s">
        <v>48</v>
      </c>
      <c r="AB101" s="2" t="s">
        <v>362</v>
      </c>
      <c r="AC101" s="3">
        <v>46302</v>
      </c>
      <c r="AD101" s="4">
        <f>(LEN(PlannerTasks[[#This Row],[ChecklistSummary]])-LEN(SUBSTITUTE(PlannerTasks[[#This Row],[ChecklistSummary]],"""isChecked"":true","")))/LEN("""isChecked"":true")</f>
        <v>0</v>
      </c>
      <c r="AE101" s="4">
        <f>PlannerTasks[[#This Row],[ChecklistItemCount]]-PlannerTasks[[#This Row],[ChecklistDone]]</f>
        <v>0</v>
      </c>
      <c r="AF101" s="4" t="str">
        <f ca="1">IF(OR(PlannerTasks[[#This Row],[DueDateTime]]="",PlannerTasks[[#This Row],[PercentComplete]]=100),"No",IF(DATEVALUE(LEFT(PlannerTasks[[#This Row],[DueDateTime]],10))&lt;TODAY(),"Yes","No"))</f>
        <v>No</v>
      </c>
      <c r="AG101" s="4">
        <f ca="1">IF(PlannerTasks[[#This Row],[IsOverdue]]="Yes",TODAY()-DATEVALUE(LEFT(PlannerTasks[[#This Row],[DueDateTime]],10)),0)</f>
        <v>0</v>
      </c>
      <c r="AH101" s="4" t="str">
        <f ca="1">IF(OR(PlannerTasks[[#This Row],[DueDateTime]]="",PlannerTasks[[#This Row],[PercentComplete]]=100),"",DATEVALUE(LEFT(PlannerTasks[[#This Row],[DueDateTime]],10))-TODAY())</f>
        <v/>
      </c>
    </row>
    <row r="102" spans="1:34" ht="15" customHeight="1">
      <c r="A102" s="2" t="s">
        <v>865</v>
      </c>
      <c r="B102" s="2" t="s">
        <v>866</v>
      </c>
      <c r="C102" s="2" t="s">
        <v>867</v>
      </c>
      <c r="D102" s="2" t="s">
        <v>37</v>
      </c>
      <c r="E102" s="2" t="s">
        <v>619</v>
      </c>
      <c r="F102" s="2" t="s">
        <v>620</v>
      </c>
      <c r="G102" s="2">
        <v>100</v>
      </c>
      <c r="H102" s="2">
        <v>5</v>
      </c>
      <c r="I102" s="2" t="s">
        <v>40</v>
      </c>
      <c r="J102" s="2" t="s">
        <v>868</v>
      </c>
      <c r="K102" s="2" t="s">
        <v>869</v>
      </c>
      <c r="L102" s="2" t="s">
        <v>390</v>
      </c>
      <c r="M102" s="2"/>
      <c r="N102" s="2" t="s">
        <v>666</v>
      </c>
      <c r="O102" s="2" t="s">
        <v>870</v>
      </c>
      <c r="P102" s="2" t="s">
        <v>390</v>
      </c>
      <c r="Q102" s="2" t="s">
        <v>186</v>
      </c>
      <c r="R102" s="2" t="b">
        <v>1</v>
      </c>
      <c r="S102" s="2" t="s">
        <v>871</v>
      </c>
      <c r="T102" s="2">
        <v>9</v>
      </c>
      <c r="U102" s="2" t="s">
        <v>872</v>
      </c>
      <c r="V102" s="2">
        <v>0</v>
      </c>
      <c r="W102" s="2" t="s">
        <v>45</v>
      </c>
      <c r="X102" s="2" t="s">
        <v>873</v>
      </c>
      <c r="Y102" s="2"/>
      <c r="Z102" s="2" t="s">
        <v>70</v>
      </c>
      <c r="AA102" s="2" t="s">
        <v>48</v>
      </c>
      <c r="AB102" s="2" t="s">
        <v>188</v>
      </c>
      <c r="AC102" s="3">
        <v>46302</v>
      </c>
      <c r="AD102" s="4">
        <f>(LEN(PlannerTasks[[#This Row],[ChecklistSummary]])-LEN(SUBSTITUTE(PlannerTasks[[#This Row],[ChecklistSummary]],"""isChecked"":true","")))/LEN("""isChecked"":true")</f>
        <v>9</v>
      </c>
      <c r="AE102" s="4">
        <f>PlannerTasks[[#This Row],[ChecklistItemCount]]-PlannerTasks[[#This Row],[ChecklistDone]]</f>
        <v>0</v>
      </c>
      <c r="AF102" s="4" t="str">
        <f ca="1">IF(OR(PlannerTasks[[#This Row],[DueDateTime]]="",PlannerTasks[[#This Row],[PercentComplete]]=100),"No",IF(DATEVALUE(LEFT(PlannerTasks[[#This Row],[DueDateTime]],10))&lt;TODAY(),"Yes","No"))</f>
        <v>No</v>
      </c>
      <c r="AG102" s="4">
        <f ca="1">IF(PlannerTasks[[#This Row],[IsOverdue]]="Yes",TODAY()-DATEVALUE(LEFT(PlannerTasks[[#This Row],[DueDateTime]],10)),0)</f>
        <v>0</v>
      </c>
      <c r="AH102" s="4" t="str">
        <f ca="1">IF(OR(PlannerTasks[[#This Row],[DueDateTime]]="",PlannerTasks[[#This Row],[PercentComplete]]=100),"",DATEVALUE(LEFT(PlannerTasks[[#This Row],[DueDateTime]],10))-TODAY())</f>
        <v/>
      </c>
    </row>
    <row r="103" spans="1:34" ht="15" customHeight="1">
      <c r="A103" s="2" t="s">
        <v>874</v>
      </c>
      <c r="B103" s="2" t="s">
        <v>875</v>
      </c>
      <c r="C103" s="2" t="s">
        <v>876</v>
      </c>
      <c r="D103" s="2" t="s">
        <v>37</v>
      </c>
      <c r="E103" s="2" t="s">
        <v>619</v>
      </c>
      <c r="F103" s="2" t="s">
        <v>620</v>
      </c>
      <c r="G103" s="2">
        <v>100</v>
      </c>
      <c r="H103" s="2">
        <v>1</v>
      </c>
      <c r="I103" s="2" t="s">
        <v>609</v>
      </c>
      <c r="J103" s="2" t="s">
        <v>877</v>
      </c>
      <c r="K103" s="2" t="s">
        <v>878</v>
      </c>
      <c r="L103" s="2" t="s">
        <v>390</v>
      </c>
      <c r="M103" s="2"/>
      <c r="N103" s="2" t="s">
        <v>779</v>
      </c>
      <c r="O103" s="2" t="s">
        <v>879</v>
      </c>
      <c r="P103" s="2" t="s">
        <v>390</v>
      </c>
      <c r="Q103" s="2" t="s">
        <v>67</v>
      </c>
      <c r="R103" s="2" t="b">
        <v>0</v>
      </c>
      <c r="S103" s="2"/>
      <c r="T103" s="2">
        <v>0</v>
      </c>
      <c r="U103" s="2" t="s">
        <v>45</v>
      </c>
      <c r="V103" s="2">
        <v>0</v>
      </c>
      <c r="W103" s="2" t="s">
        <v>45</v>
      </c>
      <c r="X103" s="2" t="s">
        <v>880</v>
      </c>
      <c r="Y103" s="2"/>
      <c r="Z103" s="2" t="s">
        <v>70</v>
      </c>
      <c r="AA103" s="2" t="s">
        <v>48</v>
      </c>
      <c r="AB103" s="2"/>
      <c r="AC103" s="3">
        <v>46302</v>
      </c>
      <c r="AD103" s="4">
        <f>(LEN(PlannerTasks[[#This Row],[ChecklistSummary]])-LEN(SUBSTITUTE(PlannerTasks[[#This Row],[ChecklistSummary]],"""isChecked"":true","")))/LEN("""isChecked"":true")</f>
        <v>0</v>
      </c>
      <c r="AE103" s="4">
        <f>PlannerTasks[[#This Row],[ChecklistItemCount]]-PlannerTasks[[#This Row],[ChecklistDone]]</f>
        <v>0</v>
      </c>
      <c r="AF103" s="4" t="str">
        <f ca="1">IF(OR(PlannerTasks[[#This Row],[DueDateTime]]="",PlannerTasks[[#This Row],[PercentComplete]]=100),"No",IF(DATEVALUE(LEFT(PlannerTasks[[#This Row],[DueDateTime]],10))&lt;TODAY(),"Yes","No"))</f>
        <v>No</v>
      </c>
      <c r="AG103" s="4">
        <f ca="1">IF(PlannerTasks[[#This Row],[IsOverdue]]="Yes",TODAY()-DATEVALUE(LEFT(PlannerTasks[[#This Row],[DueDateTime]],10)),0)</f>
        <v>0</v>
      </c>
      <c r="AH103" s="4" t="str">
        <f ca="1">IF(OR(PlannerTasks[[#This Row],[DueDateTime]]="",PlannerTasks[[#This Row],[PercentComplete]]=100),"",DATEVALUE(LEFT(PlannerTasks[[#This Row],[DueDateTime]],10))-TODAY())</f>
        <v/>
      </c>
    </row>
    <row r="104" spans="1:34" ht="15" customHeight="1">
      <c r="A104" s="2" t="s">
        <v>881</v>
      </c>
      <c r="B104" s="2" t="s">
        <v>882</v>
      </c>
      <c r="C104" s="2" t="s">
        <v>883</v>
      </c>
      <c r="D104" s="2" t="s">
        <v>37</v>
      </c>
      <c r="E104" s="2" t="s">
        <v>619</v>
      </c>
      <c r="F104" s="2" t="s">
        <v>620</v>
      </c>
      <c r="G104" s="2">
        <v>100</v>
      </c>
      <c r="H104" s="2">
        <v>5</v>
      </c>
      <c r="I104" s="2" t="s">
        <v>40</v>
      </c>
      <c r="J104" s="2" t="s">
        <v>884</v>
      </c>
      <c r="K104" s="2" t="s">
        <v>885</v>
      </c>
      <c r="L104" s="2" t="s">
        <v>390</v>
      </c>
      <c r="M104" s="2"/>
      <c r="N104" s="2" t="s">
        <v>779</v>
      </c>
      <c r="O104" s="2" t="s">
        <v>886</v>
      </c>
      <c r="P104" s="2" t="s">
        <v>390</v>
      </c>
      <c r="Q104" s="2" t="s">
        <v>781</v>
      </c>
      <c r="R104" s="2" t="b">
        <v>0</v>
      </c>
      <c r="S104" s="2"/>
      <c r="T104" s="2">
        <v>0</v>
      </c>
      <c r="U104" s="2" t="s">
        <v>45</v>
      </c>
      <c r="V104" s="2">
        <v>0</v>
      </c>
      <c r="W104" s="2" t="s">
        <v>45</v>
      </c>
      <c r="X104" s="2" t="s">
        <v>887</v>
      </c>
      <c r="Y104" s="2"/>
      <c r="Z104" s="2" t="s">
        <v>70</v>
      </c>
      <c r="AA104" s="2" t="s">
        <v>48</v>
      </c>
      <c r="AB104" s="2" t="s">
        <v>785</v>
      </c>
      <c r="AC104" s="3">
        <v>46302</v>
      </c>
      <c r="AD104" s="4">
        <f>(LEN(PlannerTasks[[#This Row],[ChecklistSummary]])-LEN(SUBSTITUTE(PlannerTasks[[#This Row],[ChecklistSummary]],"""isChecked"":true","")))/LEN("""isChecked"":true")</f>
        <v>0</v>
      </c>
      <c r="AE104" s="4">
        <f>PlannerTasks[[#This Row],[ChecklistItemCount]]-PlannerTasks[[#This Row],[ChecklistDone]]</f>
        <v>0</v>
      </c>
      <c r="AF104" s="4" t="str">
        <f ca="1">IF(OR(PlannerTasks[[#This Row],[DueDateTime]]="",PlannerTasks[[#This Row],[PercentComplete]]=100),"No",IF(DATEVALUE(LEFT(PlannerTasks[[#This Row],[DueDateTime]],10))&lt;TODAY(),"Yes","No"))</f>
        <v>No</v>
      </c>
      <c r="AG104" s="4">
        <f ca="1">IF(PlannerTasks[[#This Row],[IsOverdue]]="Yes",TODAY()-DATEVALUE(LEFT(PlannerTasks[[#This Row],[DueDateTime]],10)),0)</f>
        <v>0</v>
      </c>
      <c r="AH104" s="4" t="str">
        <f ca="1">IF(OR(PlannerTasks[[#This Row],[DueDateTime]]="",PlannerTasks[[#This Row],[PercentComplete]]=100),"",DATEVALUE(LEFT(PlannerTasks[[#This Row],[DueDateTime]],10))-TODAY())</f>
        <v/>
      </c>
    </row>
    <row r="105" spans="1:34" ht="15" customHeight="1">
      <c r="A105" s="2" t="s">
        <v>888</v>
      </c>
      <c r="B105" s="2" t="s">
        <v>889</v>
      </c>
      <c r="C105" s="2" t="s">
        <v>890</v>
      </c>
      <c r="D105" s="2" t="s">
        <v>37</v>
      </c>
      <c r="E105" s="2" t="s">
        <v>619</v>
      </c>
      <c r="F105" s="2" t="s">
        <v>620</v>
      </c>
      <c r="G105" s="2">
        <v>100</v>
      </c>
      <c r="H105" s="2">
        <v>1</v>
      </c>
      <c r="I105" s="2" t="s">
        <v>609</v>
      </c>
      <c r="J105" s="2" t="s">
        <v>891</v>
      </c>
      <c r="K105" s="2" t="s">
        <v>892</v>
      </c>
      <c r="L105" s="2" t="s">
        <v>623</v>
      </c>
      <c r="M105" s="2"/>
      <c r="N105" s="2" t="s">
        <v>893</v>
      </c>
      <c r="O105" s="2" t="s">
        <v>894</v>
      </c>
      <c r="P105" s="2" t="s">
        <v>390</v>
      </c>
      <c r="Q105" s="2" t="s">
        <v>895</v>
      </c>
      <c r="R105" s="2" t="b">
        <v>1</v>
      </c>
      <c r="S105" s="2" t="s">
        <v>896</v>
      </c>
      <c r="T105" s="2">
        <v>0</v>
      </c>
      <c r="U105" s="2" t="s">
        <v>45</v>
      </c>
      <c r="V105" s="2">
        <v>0</v>
      </c>
      <c r="W105" s="2" t="s">
        <v>45</v>
      </c>
      <c r="X105" s="2" t="s">
        <v>897</v>
      </c>
      <c r="Y105" s="2"/>
      <c r="Z105" s="2" t="s">
        <v>70</v>
      </c>
      <c r="AA105" s="2" t="s">
        <v>48</v>
      </c>
      <c r="AB105" s="2" t="s">
        <v>898</v>
      </c>
      <c r="AC105" s="3">
        <v>46300</v>
      </c>
      <c r="AD105" s="4">
        <f>(LEN(PlannerTasks[[#This Row],[ChecklistSummary]])-LEN(SUBSTITUTE(PlannerTasks[[#This Row],[ChecklistSummary]],"""isChecked"":true","")))/LEN("""isChecked"":true")</f>
        <v>0</v>
      </c>
      <c r="AE105" s="4">
        <f>PlannerTasks[[#This Row],[ChecklistItemCount]]-PlannerTasks[[#This Row],[ChecklistDone]]</f>
        <v>0</v>
      </c>
      <c r="AF105" s="4" t="str">
        <f ca="1">IF(OR(PlannerTasks[[#This Row],[DueDateTime]]="",PlannerTasks[[#This Row],[PercentComplete]]=100),"No",IF(DATEVALUE(LEFT(PlannerTasks[[#This Row],[DueDateTime]],10))&lt;TODAY(),"Yes","No"))</f>
        <v>No</v>
      </c>
      <c r="AG105" s="4">
        <f ca="1">IF(PlannerTasks[[#This Row],[IsOverdue]]="Yes",TODAY()-DATEVALUE(LEFT(PlannerTasks[[#This Row],[DueDateTime]],10)),0)</f>
        <v>0</v>
      </c>
      <c r="AH105" s="4" t="str">
        <f ca="1">IF(OR(PlannerTasks[[#This Row],[DueDateTime]]="",PlannerTasks[[#This Row],[PercentComplete]]=100),"",DATEVALUE(LEFT(PlannerTasks[[#This Row],[DueDateTime]],10))-TODAY())</f>
        <v/>
      </c>
    </row>
    <row r="106" spans="1:34" ht="15" customHeight="1">
      <c r="A106" s="2" t="s">
        <v>899</v>
      </c>
      <c r="B106" s="2" t="s">
        <v>900</v>
      </c>
      <c r="C106" s="2" t="s">
        <v>901</v>
      </c>
      <c r="D106" s="2" t="s">
        <v>37</v>
      </c>
      <c r="E106" s="2" t="s">
        <v>619</v>
      </c>
      <c r="F106" s="2" t="s">
        <v>620</v>
      </c>
      <c r="G106" s="2">
        <v>100</v>
      </c>
      <c r="H106" s="2">
        <v>5</v>
      </c>
      <c r="I106" s="2" t="s">
        <v>40</v>
      </c>
      <c r="J106" s="2" t="s">
        <v>902</v>
      </c>
      <c r="K106" s="2" t="s">
        <v>903</v>
      </c>
      <c r="L106" s="2" t="s">
        <v>43</v>
      </c>
      <c r="M106" s="2"/>
      <c r="N106" s="2"/>
      <c r="O106" s="2" t="s">
        <v>904</v>
      </c>
      <c r="P106" s="2" t="s">
        <v>43</v>
      </c>
      <c r="Q106" s="2" t="s">
        <v>67</v>
      </c>
      <c r="R106" s="2" t="b">
        <v>0</v>
      </c>
      <c r="S106" s="2"/>
      <c r="T106" s="2">
        <v>0</v>
      </c>
      <c r="U106" s="2" t="s">
        <v>45</v>
      </c>
      <c r="V106" s="2">
        <v>0</v>
      </c>
      <c r="W106" s="2" t="s">
        <v>45</v>
      </c>
      <c r="X106" s="2" t="s">
        <v>905</v>
      </c>
      <c r="Y106" s="2"/>
      <c r="Z106" s="2" t="s">
        <v>47</v>
      </c>
      <c r="AA106" s="2" t="s">
        <v>48</v>
      </c>
      <c r="AB106" s="2"/>
      <c r="AC106" s="3">
        <v>46301</v>
      </c>
      <c r="AD106" s="4">
        <f>(LEN(PlannerTasks[[#This Row],[ChecklistSummary]])-LEN(SUBSTITUTE(PlannerTasks[[#This Row],[ChecklistSummary]],"""isChecked"":true","")))/LEN("""isChecked"":true")</f>
        <v>0</v>
      </c>
      <c r="AE106" s="4">
        <f>PlannerTasks[[#This Row],[ChecklistItemCount]]-PlannerTasks[[#This Row],[ChecklistDone]]</f>
        <v>0</v>
      </c>
      <c r="AF106" s="4" t="str">
        <f ca="1">IF(OR(PlannerTasks[[#This Row],[DueDateTime]]="",PlannerTasks[[#This Row],[PercentComplete]]=100),"No",IF(DATEVALUE(LEFT(PlannerTasks[[#This Row],[DueDateTime]],10))&lt;TODAY(),"Yes","No"))</f>
        <v>No</v>
      </c>
      <c r="AG106" s="4">
        <f ca="1">IF(PlannerTasks[[#This Row],[IsOverdue]]="Yes",TODAY()-DATEVALUE(LEFT(PlannerTasks[[#This Row],[DueDateTime]],10)),0)</f>
        <v>0</v>
      </c>
      <c r="AH106" s="4" t="str">
        <f ca="1">IF(OR(PlannerTasks[[#This Row],[DueDateTime]]="",PlannerTasks[[#This Row],[PercentComplete]]=100),"",DATEVALUE(LEFT(PlannerTasks[[#This Row],[DueDateTime]],10))-TODAY())</f>
        <v/>
      </c>
    </row>
    <row r="107" spans="1:34" ht="15" customHeight="1">
      <c r="A107" s="2" t="s">
        <v>906</v>
      </c>
      <c r="B107" s="2" t="s">
        <v>907</v>
      </c>
      <c r="C107" s="2" t="s">
        <v>908</v>
      </c>
      <c r="D107" s="2" t="s">
        <v>37</v>
      </c>
      <c r="E107" s="2" t="s">
        <v>619</v>
      </c>
      <c r="F107" s="2" t="s">
        <v>620</v>
      </c>
      <c r="G107" s="2">
        <v>100</v>
      </c>
      <c r="H107" s="2">
        <v>5</v>
      </c>
      <c r="I107" s="2" t="s">
        <v>40</v>
      </c>
      <c r="J107" s="2" t="s">
        <v>909</v>
      </c>
      <c r="K107" s="2" t="s">
        <v>910</v>
      </c>
      <c r="L107" s="2" t="s">
        <v>43</v>
      </c>
      <c r="M107" s="2"/>
      <c r="N107" s="2"/>
      <c r="O107" s="2" t="s">
        <v>911</v>
      </c>
      <c r="P107" s="2" t="s">
        <v>43</v>
      </c>
      <c r="Q107" s="2" t="s">
        <v>67</v>
      </c>
      <c r="R107" s="2" t="b">
        <v>0</v>
      </c>
      <c r="S107" s="2"/>
      <c r="T107" s="2">
        <v>0</v>
      </c>
      <c r="U107" s="2" t="s">
        <v>45</v>
      </c>
      <c r="V107" s="2">
        <v>0</v>
      </c>
      <c r="W107" s="2" t="s">
        <v>45</v>
      </c>
      <c r="X107" s="2" t="s">
        <v>912</v>
      </c>
      <c r="Y107" s="2"/>
      <c r="Z107" s="2" t="s">
        <v>764</v>
      </c>
      <c r="AA107" s="2" t="s">
        <v>48</v>
      </c>
      <c r="AB107" s="2"/>
      <c r="AC107" s="3" t="s">
        <v>913</v>
      </c>
      <c r="AD107" s="4">
        <f>(LEN(PlannerTasks[[#This Row],[ChecklistSummary]])-LEN(SUBSTITUTE(PlannerTasks[[#This Row],[ChecklistSummary]],"""isChecked"":true","")))/LEN("""isChecked"":true")</f>
        <v>0</v>
      </c>
      <c r="AE107" s="4">
        <f>PlannerTasks[[#This Row],[ChecklistItemCount]]-PlannerTasks[[#This Row],[ChecklistDone]]</f>
        <v>0</v>
      </c>
      <c r="AF107" s="4" t="str">
        <f ca="1">IF(OR(PlannerTasks[[#This Row],[DueDateTime]]="",PlannerTasks[[#This Row],[PercentComplete]]=100),"No",IF(DATEVALUE(LEFT(PlannerTasks[[#This Row],[DueDateTime]],10))&lt;TODAY(),"Yes","No"))</f>
        <v>No</v>
      </c>
      <c r="AG107" s="4">
        <f ca="1">IF(PlannerTasks[[#This Row],[IsOverdue]]="Yes",TODAY()-DATEVALUE(LEFT(PlannerTasks[[#This Row],[DueDateTime]],10)),0)</f>
        <v>0</v>
      </c>
      <c r="AH107" s="4" t="str">
        <f ca="1">IF(OR(PlannerTasks[[#This Row],[DueDateTime]]="",PlannerTasks[[#This Row],[PercentComplete]]=100),"",DATEVALUE(LEFT(PlannerTasks[[#This Row],[DueDateTime]],10))-TODAY())</f>
        <v/>
      </c>
    </row>
    <row r="108" spans="1:34" ht="15" customHeight="1">
      <c r="A108" s="2" t="s">
        <v>914</v>
      </c>
      <c r="B108" s="2" t="s">
        <v>915</v>
      </c>
      <c r="C108" s="2" t="s">
        <v>916</v>
      </c>
      <c r="D108" s="2" t="s">
        <v>37</v>
      </c>
      <c r="E108" s="2" t="s">
        <v>619</v>
      </c>
      <c r="F108" s="2" t="s">
        <v>620</v>
      </c>
      <c r="G108" s="2">
        <v>100</v>
      </c>
      <c r="H108" s="2">
        <v>5</v>
      </c>
      <c r="I108" s="2" t="s">
        <v>40</v>
      </c>
      <c r="J108" s="2" t="s">
        <v>917</v>
      </c>
      <c r="K108" s="2" t="s">
        <v>918</v>
      </c>
      <c r="L108" s="2" t="s">
        <v>43</v>
      </c>
      <c r="M108" s="2"/>
      <c r="N108" s="2" t="s">
        <v>893</v>
      </c>
      <c r="O108" s="2" t="s">
        <v>919</v>
      </c>
      <c r="P108" s="2" t="s">
        <v>43</v>
      </c>
      <c r="Q108" s="2" t="s">
        <v>67</v>
      </c>
      <c r="R108" s="2" t="b">
        <v>0</v>
      </c>
      <c r="S108" s="2"/>
      <c r="T108" s="2">
        <v>0</v>
      </c>
      <c r="U108" s="2" t="s">
        <v>45</v>
      </c>
      <c r="V108" s="2">
        <v>0</v>
      </c>
      <c r="W108" s="2" t="s">
        <v>45</v>
      </c>
      <c r="X108" s="2" t="s">
        <v>920</v>
      </c>
      <c r="Y108" s="2"/>
      <c r="Z108" s="2" t="s">
        <v>47</v>
      </c>
      <c r="AA108" s="2" t="s">
        <v>48</v>
      </c>
      <c r="AB108" s="2"/>
      <c r="AC108" s="3">
        <v>46301</v>
      </c>
      <c r="AD108" s="4">
        <f>(LEN(PlannerTasks[[#This Row],[ChecklistSummary]])-LEN(SUBSTITUTE(PlannerTasks[[#This Row],[ChecklistSummary]],"""isChecked"":true","")))/LEN("""isChecked"":true")</f>
        <v>0</v>
      </c>
      <c r="AE108" s="4">
        <f>PlannerTasks[[#This Row],[ChecklistItemCount]]-PlannerTasks[[#This Row],[ChecklistDone]]</f>
        <v>0</v>
      </c>
      <c r="AF108" s="4" t="str">
        <f ca="1">IF(OR(PlannerTasks[[#This Row],[DueDateTime]]="",PlannerTasks[[#This Row],[PercentComplete]]=100),"No",IF(DATEVALUE(LEFT(PlannerTasks[[#This Row],[DueDateTime]],10))&lt;TODAY(),"Yes","No"))</f>
        <v>No</v>
      </c>
      <c r="AG108" s="4">
        <f ca="1">IF(PlannerTasks[[#This Row],[IsOverdue]]="Yes",TODAY()-DATEVALUE(LEFT(PlannerTasks[[#This Row],[DueDateTime]],10)),0)</f>
        <v>0</v>
      </c>
      <c r="AH108" s="4" t="str">
        <f ca="1">IF(OR(PlannerTasks[[#This Row],[DueDateTime]]="",PlannerTasks[[#This Row],[PercentComplete]]=100),"",DATEVALUE(LEFT(PlannerTasks[[#This Row],[DueDateTime]],10))-TODAY())</f>
        <v/>
      </c>
    </row>
    <row r="109" spans="1:34" ht="15" customHeight="1">
      <c r="A109" s="2" t="s">
        <v>921</v>
      </c>
      <c r="B109" s="2" t="s">
        <v>922</v>
      </c>
      <c r="C109" s="2" t="s">
        <v>923</v>
      </c>
      <c r="D109" s="2" t="s">
        <v>37</v>
      </c>
      <c r="E109" s="2" t="s">
        <v>619</v>
      </c>
      <c r="F109" s="2" t="s">
        <v>620</v>
      </c>
      <c r="G109" s="2">
        <v>100</v>
      </c>
      <c r="H109" s="2">
        <v>5</v>
      </c>
      <c r="I109" s="2" t="s">
        <v>40</v>
      </c>
      <c r="J109" s="2" t="s">
        <v>924</v>
      </c>
      <c r="K109" s="2" t="s">
        <v>925</v>
      </c>
      <c r="L109" s="2" t="s">
        <v>96</v>
      </c>
      <c r="M109" s="2"/>
      <c r="N109" s="2" t="s">
        <v>926</v>
      </c>
      <c r="O109" s="2" t="s">
        <v>927</v>
      </c>
      <c r="P109" s="2" t="s">
        <v>390</v>
      </c>
      <c r="Q109" s="2" t="s">
        <v>186</v>
      </c>
      <c r="R109" s="2" t="b">
        <v>1</v>
      </c>
      <c r="S109" s="2" t="s">
        <v>928</v>
      </c>
      <c r="T109" s="2">
        <v>0</v>
      </c>
      <c r="U109" s="2" t="s">
        <v>45</v>
      </c>
      <c r="V109" s="2">
        <v>0</v>
      </c>
      <c r="W109" s="2" t="s">
        <v>45</v>
      </c>
      <c r="X109" s="2">
        <v>8.5841042596527503E+18</v>
      </c>
      <c r="Y109" s="2"/>
      <c r="Z109" s="2" t="s">
        <v>70</v>
      </c>
      <c r="AA109" s="2" t="s">
        <v>48</v>
      </c>
      <c r="AB109" s="2" t="s">
        <v>188</v>
      </c>
      <c r="AC109" s="3">
        <v>46303</v>
      </c>
      <c r="AD109" s="4">
        <f>(LEN(PlannerTasks[[#This Row],[ChecklistSummary]])-LEN(SUBSTITUTE(PlannerTasks[[#This Row],[ChecklistSummary]],"""isChecked"":true","")))/LEN("""isChecked"":true")</f>
        <v>0</v>
      </c>
      <c r="AE109" s="4">
        <f>PlannerTasks[[#This Row],[ChecklistItemCount]]-PlannerTasks[[#This Row],[ChecklistDone]]</f>
        <v>0</v>
      </c>
      <c r="AF109" s="4" t="str">
        <f ca="1">IF(OR(PlannerTasks[[#This Row],[DueDateTime]]="",PlannerTasks[[#This Row],[PercentComplete]]=100),"No",IF(DATEVALUE(LEFT(PlannerTasks[[#This Row],[DueDateTime]],10))&lt;TODAY(),"Yes","No"))</f>
        <v>No</v>
      </c>
      <c r="AG109" s="4">
        <f ca="1">IF(PlannerTasks[[#This Row],[IsOverdue]]="Yes",TODAY()-DATEVALUE(LEFT(PlannerTasks[[#This Row],[DueDateTime]],10)),0)</f>
        <v>0</v>
      </c>
      <c r="AH109" s="4" t="str">
        <f ca="1">IF(OR(PlannerTasks[[#This Row],[DueDateTime]]="",PlannerTasks[[#This Row],[PercentComplete]]=100),"",DATEVALUE(LEFT(PlannerTasks[[#This Row],[DueDateTime]],10))-TODAY())</f>
        <v/>
      </c>
    </row>
    <row r="110" spans="1:34" ht="15" customHeight="1">
      <c r="A110" s="2" t="s">
        <v>929</v>
      </c>
      <c r="B110" s="2" t="s">
        <v>930</v>
      </c>
      <c r="C110" s="2" t="s">
        <v>923</v>
      </c>
      <c r="D110" s="2" t="s">
        <v>37</v>
      </c>
      <c r="E110" s="2" t="s">
        <v>619</v>
      </c>
      <c r="F110" s="2" t="s">
        <v>620</v>
      </c>
      <c r="G110" s="2">
        <v>100</v>
      </c>
      <c r="H110" s="2">
        <v>5</v>
      </c>
      <c r="I110" s="2" t="s">
        <v>40</v>
      </c>
      <c r="J110" s="2" t="s">
        <v>931</v>
      </c>
      <c r="K110" s="2" t="s">
        <v>932</v>
      </c>
      <c r="L110" s="2" t="s">
        <v>96</v>
      </c>
      <c r="M110" s="2"/>
      <c r="N110" s="2" t="s">
        <v>926</v>
      </c>
      <c r="O110" s="2" t="s">
        <v>933</v>
      </c>
      <c r="P110" s="2" t="s">
        <v>390</v>
      </c>
      <c r="Q110" s="2" t="s">
        <v>186</v>
      </c>
      <c r="R110" s="2" t="b">
        <v>1</v>
      </c>
      <c r="S110" s="2" t="s">
        <v>934</v>
      </c>
      <c r="T110" s="2">
        <v>0</v>
      </c>
      <c r="U110" s="2" t="s">
        <v>45</v>
      </c>
      <c r="V110" s="2">
        <v>0</v>
      </c>
      <c r="W110" s="2" t="s">
        <v>45</v>
      </c>
      <c r="X110" s="2">
        <v>8.5841042537688105E+18</v>
      </c>
      <c r="Y110" s="2"/>
      <c r="Z110" s="2" t="s">
        <v>70</v>
      </c>
      <c r="AA110" s="2" t="s">
        <v>48</v>
      </c>
      <c r="AB110" s="2" t="s">
        <v>188</v>
      </c>
      <c r="AC110" s="3">
        <v>46303</v>
      </c>
      <c r="AD110" s="4">
        <f>(LEN(PlannerTasks[[#This Row],[ChecklistSummary]])-LEN(SUBSTITUTE(PlannerTasks[[#This Row],[ChecklistSummary]],"""isChecked"":true","")))/LEN("""isChecked"":true")</f>
        <v>0</v>
      </c>
      <c r="AE110" s="4">
        <f>PlannerTasks[[#This Row],[ChecklistItemCount]]-PlannerTasks[[#This Row],[ChecklistDone]]</f>
        <v>0</v>
      </c>
      <c r="AF110" s="4" t="str">
        <f ca="1">IF(OR(PlannerTasks[[#This Row],[DueDateTime]]="",PlannerTasks[[#This Row],[PercentComplete]]=100),"No",IF(DATEVALUE(LEFT(PlannerTasks[[#This Row],[DueDateTime]],10))&lt;TODAY(),"Yes","No"))</f>
        <v>No</v>
      </c>
      <c r="AG110" s="4">
        <f ca="1">IF(PlannerTasks[[#This Row],[IsOverdue]]="Yes",TODAY()-DATEVALUE(LEFT(PlannerTasks[[#This Row],[DueDateTime]],10)),0)</f>
        <v>0</v>
      </c>
      <c r="AH110" s="4" t="str">
        <f ca="1">IF(OR(PlannerTasks[[#This Row],[DueDateTime]]="",PlannerTasks[[#This Row],[PercentComplete]]=100),"",DATEVALUE(LEFT(PlannerTasks[[#This Row],[DueDateTime]],10))-TODAY())</f>
        <v/>
      </c>
    </row>
    <row r="111" spans="1:34" ht="15" customHeight="1">
      <c r="A111" s="2" t="s">
        <v>935</v>
      </c>
      <c r="B111" s="2" t="s">
        <v>936</v>
      </c>
      <c r="C111" s="2" t="s">
        <v>937</v>
      </c>
      <c r="D111" s="2" t="s">
        <v>37</v>
      </c>
      <c r="E111" s="2" t="s">
        <v>619</v>
      </c>
      <c r="F111" s="2" t="s">
        <v>620</v>
      </c>
      <c r="G111" s="2">
        <v>100</v>
      </c>
      <c r="H111" s="2">
        <v>5</v>
      </c>
      <c r="I111" s="2" t="s">
        <v>40</v>
      </c>
      <c r="J111" s="2" t="s">
        <v>938</v>
      </c>
      <c r="K111" s="2" t="s">
        <v>939</v>
      </c>
      <c r="L111" s="2" t="s">
        <v>390</v>
      </c>
      <c r="M111" s="2"/>
      <c r="N111" s="2" t="s">
        <v>665</v>
      </c>
      <c r="O111" s="2" t="s">
        <v>940</v>
      </c>
      <c r="P111" s="2" t="s">
        <v>390</v>
      </c>
      <c r="Q111" s="2" t="s">
        <v>781</v>
      </c>
      <c r="R111" s="2" t="b">
        <v>0</v>
      </c>
      <c r="S111" s="2"/>
      <c r="T111" s="2">
        <v>0</v>
      </c>
      <c r="U111" s="2" t="s">
        <v>45</v>
      </c>
      <c r="V111" s="2">
        <v>0</v>
      </c>
      <c r="W111" s="2" t="s">
        <v>45</v>
      </c>
      <c r="X111" s="2" t="s">
        <v>941</v>
      </c>
      <c r="Y111" s="2"/>
      <c r="Z111" s="2" t="s">
        <v>70</v>
      </c>
      <c r="AA111" s="2" t="s">
        <v>48</v>
      </c>
      <c r="AB111" s="2" t="s">
        <v>785</v>
      </c>
      <c r="AC111" s="3">
        <v>46300</v>
      </c>
      <c r="AD111" s="4">
        <f>(LEN(PlannerTasks[[#This Row],[ChecklistSummary]])-LEN(SUBSTITUTE(PlannerTasks[[#This Row],[ChecklistSummary]],"""isChecked"":true","")))/LEN("""isChecked"":true")</f>
        <v>0</v>
      </c>
      <c r="AE111" s="4">
        <f>PlannerTasks[[#This Row],[ChecklistItemCount]]-PlannerTasks[[#This Row],[ChecklistDone]]</f>
        <v>0</v>
      </c>
      <c r="AF111" s="4" t="str">
        <f ca="1">IF(OR(PlannerTasks[[#This Row],[DueDateTime]]="",PlannerTasks[[#This Row],[PercentComplete]]=100),"No",IF(DATEVALUE(LEFT(PlannerTasks[[#This Row],[DueDateTime]],10))&lt;TODAY(),"Yes","No"))</f>
        <v>No</v>
      </c>
      <c r="AG111" s="4">
        <f ca="1">IF(PlannerTasks[[#This Row],[IsOverdue]]="Yes",TODAY()-DATEVALUE(LEFT(PlannerTasks[[#This Row],[DueDateTime]],10)),0)</f>
        <v>0</v>
      </c>
      <c r="AH111" s="4" t="str">
        <f ca="1">IF(OR(PlannerTasks[[#This Row],[DueDateTime]]="",PlannerTasks[[#This Row],[PercentComplete]]=100),"",DATEVALUE(LEFT(PlannerTasks[[#This Row],[DueDateTime]],10))-TODAY())</f>
        <v/>
      </c>
    </row>
    <row r="112" spans="1:34" ht="15" customHeight="1">
      <c r="A112" s="2" t="s">
        <v>942</v>
      </c>
      <c r="B112" s="2" t="s">
        <v>943</v>
      </c>
      <c r="C112" s="2" t="s">
        <v>944</v>
      </c>
      <c r="D112" s="2" t="s">
        <v>37</v>
      </c>
      <c r="E112" s="2" t="s">
        <v>619</v>
      </c>
      <c r="F112" s="2" t="s">
        <v>620</v>
      </c>
      <c r="G112" s="2">
        <v>100</v>
      </c>
      <c r="H112" s="2">
        <v>5</v>
      </c>
      <c r="I112" s="2" t="s">
        <v>40</v>
      </c>
      <c r="J112" s="2" t="s">
        <v>945</v>
      </c>
      <c r="K112" s="2" t="s">
        <v>946</v>
      </c>
      <c r="L112" s="2" t="s">
        <v>390</v>
      </c>
      <c r="M112" s="2"/>
      <c r="N112" s="2" t="s">
        <v>893</v>
      </c>
      <c r="O112" s="2" t="s">
        <v>947</v>
      </c>
      <c r="P112" s="2" t="s">
        <v>390</v>
      </c>
      <c r="Q112" s="2" t="s">
        <v>489</v>
      </c>
      <c r="R112" s="2" t="b">
        <v>0</v>
      </c>
      <c r="S112" s="2"/>
      <c r="T112" s="2">
        <v>0</v>
      </c>
      <c r="U112" s="2" t="s">
        <v>45</v>
      </c>
      <c r="V112" s="2">
        <v>0</v>
      </c>
      <c r="W112" s="2" t="s">
        <v>45</v>
      </c>
      <c r="X112" s="2" t="s">
        <v>948</v>
      </c>
      <c r="Y112" s="2"/>
      <c r="Z112" s="2" t="s">
        <v>70</v>
      </c>
      <c r="AA112" s="2" t="s">
        <v>48</v>
      </c>
      <c r="AB112" s="2" t="s">
        <v>492</v>
      </c>
      <c r="AC112" s="3">
        <v>46300</v>
      </c>
      <c r="AD112" s="4">
        <f>(LEN(PlannerTasks[[#This Row],[ChecklistSummary]])-LEN(SUBSTITUTE(PlannerTasks[[#This Row],[ChecklistSummary]],"""isChecked"":true","")))/LEN("""isChecked"":true")</f>
        <v>0</v>
      </c>
      <c r="AE112" s="4">
        <f>PlannerTasks[[#This Row],[ChecklistItemCount]]-PlannerTasks[[#This Row],[ChecklistDone]]</f>
        <v>0</v>
      </c>
      <c r="AF112" s="4" t="str">
        <f ca="1">IF(OR(PlannerTasks[[#This Row],[DueDateTime]]="",PlannerTasks[[#This Row],[PercentComplete]]=100),"No",IF(DATEVALUE(LEFT(PlannerTasks[[#This Row],[DueDateTime]],10))&lt;TODAY(),"Yes","No"))</f>
        <v>No</v>
      </c>
      <c r="AG112" s="4">
        <f ca="1">IF(PlannerTasks[[#This Row],[IsOverdue]]="Yes",TODAY()-DATEVALUE(LEFT(PlannerTasks[[#This Row],[DueDateTime]],10)),0)</f>
        <v>0</v>
      </c>
      <c r="AH112" s="4" t="str">
        <f ca="1">IF(OR(PlannerTasks[[#This Row],[DueDateTime]]="",PlannerTasks[[#This Row],[PercentComplete]]=100),"",DATEVALUE(LEFT(PlannerTasks[[#This Row],[DueDateTime]],10))-TODAY())</f>
        <v/>
      </c>
    </row>
    <row r="113" spans="1:34" ht="15" customHeight="1">
      <c r="A113" s="2" t="s">
        <v>949</v>
      </c>
      <c r="B113" s="2" t="s">
        <v>950</v>
      </c>
      <c r="C113" s="2" t="s">
        <v>951</v>
      </c>
      <c r="D113" s="2" t="s">
        <v>37</v>
      </c>
      <c r="E113" s="2" t="s">
        <v>619</v>
      </c>
      <c r="F113" s="2" t="s">
        <v>620</v>
      </c>
      <c r="G113" s="2">
        <v>100</v>
      </c>
      <c r="H113" s="2">
        <v>5</v>
      </c>
      <c r="I113" s="2" t="s">
        <v>40</v>
      </c>
      <c r="J113" s="2" t="s">
        <v>952</v>
      </c>
      <c r="K113" s="2" t="s">
        <v>953</v>
      </c>
      <c r="L113" s="2" t="s">
        <v>390</v>
      </c>
      <c r="M113" s="2"/>
      <c r="N113" s="2" t="s">
        <v>665</v>
      </c>
      <c r="O113" s="2" t="s">
        <v>954</v>
      </c>
      <c r="P113" s="2" t="s">
        <v>390</v>
      </c>
      <c r="Q113" s="2" t="s">
        <v>781</v>
      </c>
      <c r="R113" s="2" t="b">
        <v>0</v>
      </c>
      <c r="S113" s="2"/>
      <c r="T113" s="2">
        <v>0</v>
      </c>
      <c r="U113" s="2" t="s">
        <v>45</v>
      </c>
      <c r="V113" s="2">
        <v>0</v>
      </c>
      <c r="W113" s="2" t="s">
        <v>45</v>
      </c>
      <c r="X113" s="2" t="s">
        <v>955</v>
      </c>
      <c r="Y113" s="2"/>
      <c r="Z113" s="2" t="s">
        <v>70</v>
      </c>
      <c r="AA113" s="2" t="s">
        <v>48</v>
      </c>
      <c r="AB113" s="2" t="s">
        <v>785</v>
      </c>
      <c r="AC113" s="3">
        <v>46297</v>
      </c>
      <c r="AD113" s="4">
        <f>(LEN(PlannerTasks[[#This Row],[ChecklistSummary]])-LEN(SUBSTITUTE(PlannerTasks[[#This Row],[ChecklistSummary]],"""isChecked"":true","")))/LEN("""isChecked"":true")</f>
        <v>0</v>
      </c>
      <c r="AE113" s="4">
        <f>PlannerTasks[[#This Row],[ChecklistItemCount]]-PlannerTasks[[#This Row],[ChecklistDone]]</f>
        <v>0</v>
      </c>
      <c r="AF113" s="4" t="str">
        <f ca="1">IF(OR(PlannerTasks[[#This Row],[DueDateTime]]="",PlannerTasks[[#This Row],[PercentComplete]]=100),"No",IF(DATEVALUE(LEFT(PlannerTasks[[#This Row],[DueDateTime]],10))&lt;TODAY(),"Yes","No"))</f>
        <v>No</v>
      </c>
      <c r="AG113" s="4">
        <f ca="1">IF(PlannerTasks[[#This Row],[IsOverdue]]="Yes",TODAY()-DATEVALUE(LEFT(PlannerTasks[[#This Row],[DueDateTime]],10)),0)</f>
        <v>0</v>
      </c>
      <c r="AH113" s="4" t="str">
        <f ca="1">IF(OR(PlannerTasks[[#This Row],[DueDateTime]]="",PlannerTasks[[#This Row],[PercentComplete]]=100),"",DATEVALUE(LEFT(PlannerTasks[[#This Row],[DueDateTime]],10))-TODAY())</f>
        <v/>
      </c>
    </row>
    <row r="114" spans="1:34" ht="15" customHeight="1">
      <c r="A114" s="2" t="s">
        <v>956</v>
      </c>
      <c r="B114" s="2" t="s">
        <v>957</v>
      </c>
      <c r="C114" s="2" t="s">
        <v>958</v>
      </c>
      <c r="D114" s="2" t="s">
        <v>37</v>
      </c>
      <c r="E114" s="2" t="s">
        <v>619</v>
      </c>
      <c r="F114" s="2" t="s">
        <v>620</v>
      </c>
      <c r="G114" s="2">
        <v>100</v>
      </c>
      <c r="H114" s="2">
        <v>5</v>
      </c>
      <c r="I114" s="2" t="s">
        <v>40</v>
      </c>
      <c r="J114" s="2" t="s">
        <v>959</v>
      </c>
      <c r="K114" s="2" t="s">
        <v>960</v>
      </c>
      <c r="L114" s="2" t="s">
        <v>390</v>
      </c>
      <c r="M114" s="2"/>
      <c r="N114" s="2" t="s">
        <v>665</v>
      </c>
      <c r="O114" s="2" t="s">
        <v>961</v>
      </c>
      <c r="P114" s="2" t="s">
        <v>390</v>
      </c>
      <c r="Q114" s="2" t="s">
        <v>781</v>
      </c>
      <c r="R114" s="2" t="b">
        <v>0</v>
      </c>
      <c r="S114" s="2"/>
      <c r="T114" s="2">
        <v>0</v>
      </c>
      <c r="U114" s="2" t="s">
        <v>45</v>
      </c>
      <c r="V114" s="2">
        <v>0</v>
      </c>
      <c r="W114" s="2" t="s">
        <v>45</v>
      </c>
      <c r="X114" s="2" t="s">
        <v>962</v>
      </c>
      <c r="Y114" s="2"/>
      <c r="Z114" s="2" t="s">
        <v>70</v>
      </c>
      <c r="AA114" s="2" t="s">
        <v>48</v>
      </c>
      <c r="AB114" s="2" t="s">
        <v>785</v>
      </c>
      <c r="AC114" s="3">
        <v>46297</v>
      </c>
      <c r="AD114" s="4">
        <f>(LEN(PlannerTasks[[#This Row],[ChecklistSummary]])-LEN(SUBSTITUTE(PlannerTasks[[#This Row],[ChecklistSummary]],"""isChecked"":true","")))/LEN("""isChecked"":true")</f>
        <v>0</v>
      </c>
      <c r="AE114" s="4">
        <f>PlannerTasks[[#This Row],[ChecklistItemCount]]-PlannerTasks[[#This Row],[ChecklistDone]]</f>
        <v>0</v>
      </c>
      <c r="AF114" s="4" t="str">
        <f ca="1">IF(OR(PlannerTasks[[#This Row],[DueDateTime]]="",PlannerTasks[[#This Row],[PercentComplete]]=100),"No",IF(DATEVALUE(LEFT(PlannerTasks[[#This Row],[DueDateTime]],10))&lt;TODAY(),"Yes","No"))</f>
        <v>No</v>
      </c>
      <c r="AG114" s="4">
        <f ca="1">IF(PlannerTasks[[#This Row],[IsOverdue]]="Yes",TODAY()-DATEVALUE(LEFT(PlannerTasks[[#This Row],[DueDateTime]],10)),0)</f>
        <v>0</v>
      </c>
      <c r="AH114" s="4" t="str">
        <f ca="1">IF(OR(PlannerTasks[[#This Row],[DueDateTime]]="",PlannerTasks[[#This Row],[PercentComplete]]=100),"",DATEVALUE(LEFT(PlannerTasks[[#This Row],[DueDateTime]],10))-TODAY())</f>
        <v/>
      </c>
    </row>
    <row r="115" spans="1:34" ht="15" customHeight="1">
      <c r="A115" s="2" t="s">
        <v>963</v>
      </c>
      <c r="B115" s="2" t="s">
        <v>964</v>
      </c>
      <c r="C115" s="2" t="s">
        <v>965</v>
      </c>
      <c r="D115" s="2" t="s">
        <v>37</v>
      </c>
      <c r="E115" s="2" t="s">
        <v>619</v>
      </c>
      <c r="F115" s="2" t="s">
        <v>620</v>
      </c>
      <c r="G115" s="2">
        <v>100</v>
      </c>
      <c r="H115" s="2">
        <v>5</v>
      </c>
      <c r="I115" s="2" t="s">
        <v>40</v>
      </c>
      <c r="J115" s="2" t="s">
        <v>966</v>
      </c>
      <c r="K115" s="2" t="s">
        <v>967</v>
      </c>
      <c r="L115" s="2" t="s">
        <v>390</v>
      </c>
      <c r="M115" s="2"/>
      <c r="N115" s="2"/>
      <c r="O115" s="2" t="s">
        <v>968</v>
      </c>
      <c r="P115" s="2" t="s">
        <v>390</v>
      </c>
      <c r="Q115" s="2" t="s">
        <v>391</v>
      </c>
      <c r="R115" s="2" t="b">
        <v>1</v>
      </c>
      <c r="S115" s="2" t="s">
        <v>969</v>
      </c>
      <c r="T115" s="2">
        <v>0</v>
      </c>
      <c r="U115" s="2" t="s">
        <v>45</v>
      </c>
      <c r="V115" s="2">
        <v>0</v>
      </c>
      <c r="W115" s="2" t="s">
        <v>45</v>
      </c>
      <c r="X115" s="2" t="s">
        <v>970</v>
      </c>
      <c r="Y115" s="2"/>
      <c r="Z115" s="2" t="s">
        <v>70</v>
      </c>
      <c r="AA115" s="2" t="s">
        <v>48</v>
      </c>
      <c r="AB115" s="2" t="s">
        <v>394</v>
      </c>
      <c r="AC115" s="3">
        <v>46295</v>
      </c>
      <c r="AD115" s="4">
        <f>(LEN(PlannerTasks[[#This Row],[ChecklistSummary]])-LEN(SUBSTITUTE(PlannerTasks[[#This Row],[ChecklistSummary]],"""isChecked"":true","")))/LEN("""isChecked"":true")</f>
        <v>0</v>
      </c>
      <c r="AE115" s="4">
        <f>PlannerTasks[[#This Row],[ChecklistItemCount]]-PlannerTasks[[#This Row],[ChecklistDone]]</f>
        <v>0</v>
      </c>
      <c r="AF115" s="4" t="str">
        <f ca="1">IF(OR(PlannerTasks[[#This Row],[DueDateTime]]="",PlannerTasks[[#This Row],[PercentComplete]]=100),"No",IF(DATEVALUE(LEFT(PlannerTasks[[#This Row],[DueDateTime]],10))&lt;TODAY(),"Yes","No"))</f>
        <v>No</v>
      </c>
      <c r="AG115" s="4">
        <f ca="1">IF(PlannerTasks[[#This Row],[IsOverdue]]="Yes",TODAY()-DATEVALUE(LEFT(PlannerTasks[[#This Row],[DueDateTime]],10)),0)</f>
        <v>0</v>
      </c>
      <c r="AH115" s="4" t="str">
        <f ca="1">IF(OR(PlannerTasks[[#This Row],[DueDateTime]]="",PlannerTasks[[#This Row],[PercentComplete]]=100),"",DATEVALUE(LEFT(PlannerTasks[[#This Row],[DueDateTime]],10))-TODAY())</f>
        <v/>
      </c>
    </row>
    <row r="116" spans="1:34" ht="15" customHeight="1">
      <c r="A116" s="2" t="s">
        <v>971</v>
      </c>
      <c r="B116" s="2" t="s">
        <v>972</v>
      </c>
      <c r="C116" s="2" t="s">
        <v>973</v>
      </c>
      <c r="D116" s="2" t="s">
        <v>37</v>
      </c>
      <c r="E116" s="2" t="s">
        <v>619</v>
      </c>
      <c r="F116" s="2" t="s">
        <v>620</v>
      </c>
      <c r="G116" s="2">
        <v>100</v>
      </c>
      <c r="H116" s="2">
        <v>5</v>
      </c>
      <c r="I116" s="2" t="s">
        <v>40</v>
      </c>
      <c r="J116" s="2" t="s">
        <v>974</v>
      </c>
      <c r="K116" s="2" t="s">
        <v>975</v>
      </c>
      <c r="L116" s="2" t="s">
        <v>390</v>
      </c>
      <c r="M116" s="2" t="s">
        <v>976</v>
      </c>
      <c r="N116" s="2" t="s">
        <v>977</v>
      </c>
      <c r="O116" s="2" t="s">
        <v>978</v>
      </c>
      <c r="P116" s="2" t="s">
        <v>390</v>
      </c>
      <c r="Q116" s="2" t="s">
        <v>97</v>
      </c>
      <c r="R116" s="2" t="b">
        <v>1</v>
      </c>
      <c r="S116" s="2" t="s">
        <v>979</v>
      </c>
      <c r="T116" s="2">
        <v>0</v>
      </c>
      <c r="U116" s="2" t="s">
        <v>45</v>
      </c>
      <c r="V116" s="2">
        <v>0</v>
      </c>
      <c r="W116" s="2" t="s">
        <v>45</v>
      </c>
      <c r="X116" s="2" t="s">
        <v>980</v>
      </c>
      <c r="Y116" s="2"/>
      <c r="Z116" s="2" t="s">
        <v>70</v>
      </c>
      <c r="AA116" s="2" t="s">
        <v>48</v>
      </c>
      <c r="AB116" s="2" t="s">
        <v>101</v>
      </c>
      <c r="AC116" s="3">
        <v>46296</v>
      </c>
      <c r="AD116" s="4">
        <f>(LEN(PlannerTasks[[#This Row],[ChecklistSummary]])-LEN(SUBSTITUTE(PlannerTasks[[#This Row],[ChecklistSummary]],"""isChecked"":true","")))/LEN("""isChecked"":true")</f>
        <v>0</v>
      </c>
      <c r="AE116" s="4">
        <f>PlannerTasks[[#This Row],[ChecklistItemCount]]-PlannerTasks[[#This Row],[ChecklistDone]]</f>
        <v>0</v>
      </c>
      <c r="AF116" s="4" t="str">
        <f ca="1">IF(OR(PlannerTasks[[#This Row],[DueDateTime]]="",PlannerTasks[[#This Row],[PercentComplete]]=100),"No",IF(DATEVALUE(LEFT(PlannerTasks[[#This Row],[DueDateTime]],10))&lt;TODAY(),"Yes","No"))</f>
        <v>No</v>
      </c>
      <c r="AG116" s="4">
        <f ca="1">IF(PlannerTasks[[#This Row],[IsOverdue]]="Yes",TODAY()-DATEVALUE(LEFT(PlannerTasks[[#This Row],[DueDateTime]],10)),0)</f>
        <v>0</v>
      </c>
      <c r="AH116" s="4" t="str">
        <f ca="1">IF(OR(PlannerTasks[[#This Row],[DueDateTime]]="",PlannerTasks[[#This Row],[PercentComplete]]=100),"",DATEVALUE(LEFT(PlannerTasks[[#This Row],[DueDateTime]],10))-TODAY())</f>
        <v/>
      </c>
    </row>
    <row r="117" spans="1:34" ht="15" customHeight="1">
      <c r="A117" s="2" t="s">
        <v>981</v>
      </c>
      <c r="B117" s="2" t="s">
        <v>982</v>
      </c>
      <c r="C117" s="2" t="s">
        <v>983</v>
      </c>
      <c r="D117" s="2" t="s">
        <v>37</v>
      </c>
      <c r="E117" s="2" t="s">
        <v>619</v>
      </c>
      <c r="F117" s="2" t="s">
        <v>620</v>
      </c>
      <c r="G117" s="2">
        <v>100</v>
      </c>
      <c r="H117" s="2">
        <v>5</v>
      </c>
      <c r="I117" s="2" t="s">
        <v>40</v>
      </c>
      <c r="J117" s="2" t="s">
        <v>984</v>
      </c>
      <c r="K117" s="2" t="s">
        <v>985</v>
      </c>
      <c r="L117" s="2" t="s">
        <v>390</v>
      </c>
      <c r="M117" s="2"/>
      <c r="N117" s="2" t="s">
        <v>976</v>
      </c>
      <c r="O117" s="2" t="s">
        <v>986</v>
      </c>
      <c r="P117" s="2" t="s">
        <v>390</v>
      </c>
      <c r="Q117" s="2" t="s">
        <v>781</v>
      </c>
      <c r="R117" s="2" t="b">
        <v>0</v>
      </c>
      <c r="S117" s="2"/>
      <c r="T117" s="2">
        <v>0</v>
      </c>
      <c r="U117" s="2" t="s">
        <v>45</v>
      </c>
      <c r="V117" s="2">
        <v>0</v>
      </c>
      <c r="W117" s="2" t="s">
        <v>45</v>
      </c>
      <c r="X117" s="2" t="s">
        <v>987</v>
      </c>
      <c r="Y117" s="2"/>
      <c r="Z117" s="2" t="s">
        <v>70</v>
      </c>
      <c r="AA117" s="2" t="s">
        <v>48</v>
      </c>
      <c r="AB117" s="2" t="s">
        <v>785</v>
      </c>
      <c r="AC117" s="3">
        <v>46296</v>
      </c>
      <c r="AD117" s="4">
        <f>(LEN(PlannerTasks[[#This Row],[ChecklistSummary]])-LEN(SUBSTITUTE(PlannerTasks[[#This Row],[ChecklistSummary]],"""isChecked"":true","")))/LEN("""isChecked"":true")</f>
        <v>0</v>
      </c>
      <c r="AE117" s="4">
        <f>PlannerTasks[[#This Row],[ChecklistItemCount]]-PlannerTasks[[#This Row],[ChecklistDone]]</f>
        <v>0</v>
      </c>
      <c r="AF117" s="4" t="str">
        <f ca="1">IF(OR(PlannerTasks[[#This Row],[DueDateTime]]="",PlannerTasks[[#This Row],[PercentComplete]]=100),"No",IF(DATEVALUE(LEFT(PlannerTasks[[#This Row],[DueDateTime]],10))&lt;TODAY(),"Yes","No"))</f>
        <v>No</v>
      </c>
      <c r="AG117" s="4">
        <f ca="1">IF(PlannerTasks[[#This Row],[IsOverdue]]="Yes",TODAY()-DATEVALUE(LEFT(PlannerTasks[[#This Row],[DueDateTime]],10)),0)</f>
        <v>0</v>
      </c>
      <c r="AH117" s="4" t="str">
        <f ca="1">IF(OR(PlannerTasks[[#This Row],[DueDateTime]]="",PlannerTasks[[#This Row],[PercentComplete]]=100),"",DATEVALUE(LEFT(PlannerTasks[[#This Row],[DueDateTime]],10))-TODAY())</f>
        <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Lau, Adam</cp:lastModifiedBy>
  <cp:revision/>
  <dcterms:created xsi:type="dcterms:W3CDTF">2026-10-07T23:15:53Z</dcterms:created>
  <dcterms:modified xsi:type="dcterms:W3CDTF">2026-10-14T12:35:13Z</dcterms:modified>
  <cp:category/>
  <cp:contentStatus/>
</cp:coreProperties>
</file>